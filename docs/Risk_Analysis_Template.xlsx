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e9d346d2d806edb0/Documents/Software Development/Test Analysis 2026/"/>
    </mc:Choice>
  </mc:AlternateContent>
  <xr:revisionPtr revIDLastSave="26" documentId="13_ncr:1_{2A9BA6B0-B740-4F14-BE68-08F2B1C7984A}" xr6:coauthVersionLast="47" xr6:coauthVersionMax="47" xr10:uidLastSave="{4C86D881-CFA0-4AF2-BCC9-EA4342AEFD85}"/>
  <bookViews>
    <workbookView xWindow="38280" yWindow="-120" windowWidth="38640" windowHeight="21240" activeTab="2" xr2:uid="{00000000-000D-0000-FFFF-FFFF00000000}"/>
  </bookViews>
  <sheets>
    <sheet name="README" sheetId="4" r:id="rId1"/>
    <sheet name="Risk Analysis" sheetId="1" r:id="rId2"/>
    <sheet name="Planning View" sheetId="2" r:id="rId3"/>
    <sheet name="Template"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 i="2" l="1"/>
  <c r="M22" i="1"/>
  <c r="M21" i="1"/>
  <c r="M20" i="1"/>
  <c r="M19" i="1"/>
  <c r="M18" i="1"/>
  <c r="M17" i="1"/>
  <c r="M16" i="1"/>
  <c r="M15" i="1"/>
  <c r="M14" i="1"/>
  <c r="M13" i="1"/>
  <c r="M12" i="1"/>
  <c r="M11" i="1"/>
  <c r="M10" i="1"/>
  <c r="M9" i="1"/>
  <c r="M8" i="1"/>
  <c r="M7" i="1"/>
  <c r="K36" i="3"/>
  <c r="G35" i="3"/>
  <c r="E35" i="3"/>
  <c r="H35" i="3" s="1"/>
  <c r="J35" i="3" s="1"/>
  <c r="G34" i="3"/>
  <c r="E34" i="3"/>
  <c r="H34" i="3" s="1"/>
  <c r="J34" i="3" s="1"/>
  <c r="G33" i="3"/>
  <c r="E33" i="3"/>
  <c r="H33" i="3" s="1"/>
  <c r="J33" i="3" s="1"/>
  <c r="G32" i="3"/>
  <c r="E32" i="3"/>
  <c r="H32" i="3" s="1"/>
  <c r="J32" i="3" s="1"/>
  <c r="G31" i="3"/>
  <c r="E31" i="3"/>
  <c r="H31" i="3" s="1"/>
  <c r="J31" i="3" s="1"/>
  <c r="G30" i="3"/>
  <c r="E30" i="3"/>
  <c r="H30" i="3" s="1"/>
  <c r="J30" i="3" s="1"/>
  <c r="G29" i="3"/>
  <c r="E29" i="3"/>
  <c r="H29" i="3" s="1"/>
  <c r="J29" i="3" s="1"/>
  <c r="G28" i="3"/>
  <c r="E28" i="3"/>
  <c r="H28" i="3" s="1"/>
  <c r="J28" i="3" s="1"/>
  <c r="G27" i="3"/>
  <c r="E27" i="3"/>
  <c r="H27" i="3" s="1"/>
  <c r="J27" i="3" s="1"/>
  <c r="G26" i="3"/>
  <c r="E26" i="3"/>
  <c r="H26" i="3" s="1"/>
  <c r="J26" i="3" s="1"/>
  <c r="G25" i="3"/>
  <c r="E25" i="3"/>
  <c r="H25" i="3" s="1"/>
  <c r="J25" i="3" s="1"/>
  <c r="G24" i="3"/>
  <c r="E24" i="3"/>
  <c r="H24" i="3" s="1"/>
  <c r="J24" i="3" s="1"/>
  <c r="G23" i="3"/>
  <c r="E23" i="3"/>
  <c r="H23" i="3" s="1"/>
  <c r="J23" i="3" s="1"/>
  <c r="G22" i="3"/>
  <c r="E22" i="3"/>
  <c r="H22" i="3" s="1"/>
  <c r="J22" i="3" s="1"/>
  <c r="G21" i="3"/>
  <c r="E21" i="3"/>
  <c r="H21" i="3" s="1"/>
  <c r="J21" i="3" s="1"/>
  <c r="G20" i="3"/>
  <c r="E20" i="3"/>
  <c r="H20" i="3" s="1"/>
  <c r="J20" i="3" s="1"/>
  <c r="G19" i="3"/>
  <c r="E19" i="3"/>
  <c r="H19" i="3" s="1"/>
  <c r="J19" i="3" s="1"/>
  <c r="G18" i="3"/>
  <c r="E18" i="3"/>
  <c r="H18" i="3" s="1"/>
  <c r="J18" i="3" s="1"/>
  <c r="G17" i="3"/>
  <c r="E17" i="3"/>
  <c r="H17" i="3" s="1"/>
  <c r="J17" i="3" s="1"/>
  <c r="G16" i="3"/>
  <c r="E16" i="3"/>
  <c r="H16" i="3" s="1"/>
  <c r="J16" i="3" s="1"/>
  <c r="G15" i="3"/>
  <c r="E15" i="3"/>
  <c r="H15" i="3" s="1"/>
  <c r="J15" i="3" s="1"/>
  <c r="G14" i="3"/>
  <c r="E14" i="3"/>
  <c r="H14" i="3" s="1"/>
  <c r="J14" i="3" s="1"/>
  <c r="G13" i="3"/>
  <c r="E13" i="3"/>
  <c r="H13" i="3" s="1"/>
  <c r="J13" i="3" s="1"/>
  <c r="G12" i="3"/>
  <c r="E12" i="3"/>
  <c r="H12" i="3" s="1"/>
  <c r="J12" i="3" s="1"/>
  <c r="G11" i="3"/>
  <c r="E11" i="3"/>
  <c r="H11" i="3" s="1"/>
  <c r="J11" i="3" s="1"/>
  <c r="G10" i="3"/>
  <c r="E10" i="3"/>
  <c r="H10" i="3" s="1"/>
  <c r="J10" i="3" s="1"/>
  <c r="G9" i="3"/>
  <c r="E9" i="3"/>
  <c r="H9" i="3" s="1"/>
  <c r="J9" i="3" s="1"/>
  <c r="G8" i="3"/>
  <c r="E8" i="3"/>
  <c r="H8" i="3" s="1"/>
  <c r="J8" i="3" s="1"/>
  <c r="G7" i="3"/>
  <c r="E7" i="3"/>
  <c r="H7" i="3" s="1"/>
  <c r="J7" i="3" s="1"/>
  <c r="G6" i="3"/>
  <c r="E6" i="3"/>
  <c r="H6" i="3" s="1"/>
  <c r="J6" i="3" s="1"/>
  <c r="B4" i="2"/>
  <c r="D4" i="2" s="1"/>
  <c r="K23" i="1"/>
  <c r="G22" i="1"/>
  <c r="E22" i="1"/>
  <c r="H22" i="1" s="1"/>
  <c r="J22" i="1" s="1"/>
  <c r="H21" i="1"/>
  <c r="J21" i="1" s="1"/>
  <c r="G21" i="1"/>
  <c r="E21" i="1"/>
  <c r="G20" i="1"/>
  <c r="E20" i="1"/>
  <c r="H20" i="1" s="1"/>
  <c r="J20" i="1" s="1"/>
  <c r="G19" i="1"/>
  <c r="E19" i="1"/>
  <c r="H19" i="1" s="1"/>
  <c r="J19" i="1" s="1"/>
  <c r="G18" i="1"/>
  <c r="H18" i="1" s="1"/>
  <c r="J18" i="1" s="1"/>
  <c r="E18" i="1"/>
  <c r="G17" i="1"/>
  <c r="H17" i="1" s="1"/>
  <c r="J17" i="1" s="1"/>
  <c r="E17" i="1"/>
  <c r="J16" i="1"/>
  <c r="H16" i="1"/>
  <c r="G16" i="1"/>
  <c r="E16" i="1"/>
  <c r="G15" i="1"/>
  <c r="E15" i="1"/>
  <c r="H15" i="1" s="1"/>
  <c r="J15" i="1" s="1"/>
  <c r="G14" i="1"/>
  <c r="E14" i="1"/>
  <c r="H14" i="1" s="1"/>
  <c r="J14" i="1" s="1"/>
  <c r="H13" i="1"/>
  <c r="J13" i="1" s="1"/>
  <c r="G13" i="1"/>
  <c r="E13" i="1"/>
  <c r="G12" i="1"/>
  <c r="E12" i="1"/>
  <c r="H12" i="1" s="1"/>
  <c r="J12" i="1" s="1"/>
  <c r="G11" i="1"/>
  <c r="E11" i="1"/>
  <c r="H11" i="1" s="1"/>
  <c r="J11" i="1" s="1"/>
  <c r="G10" i="1"/>
  <c r="H10" i="1" s="1"/>
  <c r="J10" i="1" s="1"/>
  <c r="E10" i="1"/>
  <c r="G9" i="1"/>
  <c r="H9" i="1" s="1"/>
  <c r="J9" i="1" s="1"/>
  <c r="E9" i="1"/>
  <c r="J8" i="1"/>
  <c r="H8" i="1"/>
  <c r="G8" i="1"/>
  <c r="E8" i="1"/>
  <c r="G7" i="1"/>
  <c r="E7" i="1"/>
  <c r="H7" i="1" s="1"/>
  <c r="J7" i="1" s="1"/>
  <c r="F22" i="2" l="1"/>
  <c r="I12" i="2" l="1"/>
  <c r="D18" i="2"/>
  <c r="B16" i="2"/>
  <c r="F12" i="2"/>
  <c r="I21" i="2"/>
  <c r="H18" i="2"/>
  <c r="G19" i="2"/>
  <c r="B19" i="2"/>
  <c r="E10" i="2"/>
  <c r="E18" i="2"/>
  <c r="D7" i="2"/>
  <c r="G22" i="2"/>
  <c r="E12" i="2"/>
  <c r="G8" i="2"/>
  <c r="B14" i="2"/>
  <c r="C18" i="2"/>
  <c r="C19" i="2"/>
  <c r="B18" i="2"/>
  <c r="I13" i="2"/>
  <c r="C8" i="2"/>
  <c r="C13" i="2"/>
  <c r="F13" i="2"/>
  <c r="F21" i="2"/>
  <c r="I20" i="2"/>
  <c r="E15" i="2"/>
  <c r="B13" i="2"/>
  <c r="I14" i="2"/>
  <c r="D14" i="2"/>
  <c r="H19" i="2"/>
  <c r="C22" i="2"/>
  <c r="G21" i="2"/>
  <c r="I7" i="2"/>
  <c r="F18" i="2"/>
  <c r="I17" i="2"/>
  <c r="H22" i="2"/>
  <c r="H14" i="2"/>
  <c r="G7" i="2"/>
  <c r="G15" i="2"/>
  <c r="F8" i="2"/>
  <c r="E21" i="2"/>
  <c r="B15" i="2"/>
  <c r="I9" i="2"/>
  <c r="B22" i="2"/>
  <c r="F9" i="2"/>
  <c r="E14" i="2"/>
  <c r="E22" i="2"/>
  <c r="C10" i="2"/>
  <c r="D11" i="2"/>
  <c r="D19" i="2"/>
  <c r="E7" i="2"/>
  <c r="G11" i="2"/>
  <c r="B11" i="2"/>
  <c r="E11" i="2"/>
  <c r="D12" i="2"/>
  <c r="C21" i="2"/>
  <c r="F16" i="2"/>
  <c r="G20" i="2"/>
  <c r="D21" i="2"/>
  <c r="H9" i="2"/>
  <c r="H17" i="2"/>
  <c r="C16" i="2"/>
  <c r="E17" i="2"/>
  <c r="G18" i="2"/>
  <c r="F7" i="2"/>
  <c r="F15" i="2"/>
  <c r="E8" i="2"/>
  <c r="E16" i="2"/>
  <c r="H11" i="2"/>
  <c r="B7" i="2"/>
  <c r="H16" i="2"/>
  <c r="C12" i="2"/>
  <c r="E9" i="2"/>
  <c r="C7" i="2"/>
  <c r="C15" i="2"/>
  <c r="G10" i="2"/>
  <c r="G12" i="2"/>
  <c r="B12" i="2"/>
  <c r="B20" i="2"/>
  <c r="H10" i="2"/>
  <c r="F20" i="2"/>
  <c r="I15" i="2"/>
  <c r="D13" i="2"/>
  <c r="D15" i="2"/>
  <c r="E20" i="2"/>
  <c r="H20" i="2"/>
  <c r="C11" i="2"/>
  <c r="B8" i="2"/>
  <c r="D20" i="2"/>
  <c r="E13" i="2"/>
  <c r="B21" i="2"/>
  <c r="I22" i="2"/>
  <c r="D22" i="2"/>
  <c r="G13" i="2"/>
  <c r="F10" i="2"/>
  <c r="E19" i="2"/>
  <c r="D8" i="2"/>
  <c r="D16" i="2"/>
  <c r="C9" i="2"/>
  <c r="C17" i="2"/>
  <c r="H15" i="2"/>
  <c r="H8" i="2"/>
  <c r="F17" i="2"/>
  <c r="H7" i="2"/>
  <c r="I11" i="2"/>
  <c r="I8" i="2"/>
  <c r="I16" i="2"/>
  <c r="G14" i="2"/>
  <c r="G16" i="2"/>
  <c r="H13" i="2"/>
  <c r="H21" i="2"/>
  <c r="F19" i="2"/>
  <c r="H12" i="2"/>
  <c r="C20" i="2"/>
  <c r="B9" i="2"/>
  <c r="B17" i="2"/>
  <c r="I10" i="2"/>
  <c r="I18" i="2"/>
  <c r="D17" i="2"/>
  <c r="D10" i="2"/>
  <c r="B10" i="2"/>
  <c r="C14" i="2"/>
  <c r="G9" i="2"/>
  <c r="G17" i="2"/>
  <c r="D9" i="2"/>
  <c r="I19" i="2"/>
  <c r="F14" i="2"/>
  <c r="I4" i="2" l="1"/>
  <c r="I23" i="2"/>
  <c r="J7" i="2"/>
  <c r="K7" i="2" s="1"/>
  <c r="J8" i="2" l="1"/>
  <c r="K8" i="2" l="1"/>
  <c r="J9" i="2"/>
  <c r="J10" i="2" l="1"/>
  <c r="K9" i="2"/>
  <c r="J11" i="2" l="1"/>
  <c r="K10" i="2"/>
  <c r="J12" i="2" l="1"/>
  <c r="K11" i="2"/>
  <c r="K12" i="2" l="1"/>
  <c r="J13" i="2"/>
  <c r="J14" i="2" l="1"/>
  <c r="K13" i="2"/>
  <c r="J15" i="2" l="1"/>
  <c r="K14" i="2"/>
  <c r="K15" i="2" l="1"/>
  <c r="J16" i="2"/>
  <c r="K16" i="2" l="1"/>
  <c r="J17" i="2"/>
  <c r="J18" i="2" l="1"/>
  <c r="K17" i="2"/>
  <c r="J19" i="2" l="1"/>
  <c r="K18" i="2"/>
  <c r="J20" i="2" l="1"/>
  <c r="K19" i="2"/>
  <c r="J21" i="2" l="1"/>
  <c r="K20" i="2"/>
  <c r="J22" i="2" l="1"/>
  <c r="K22" i="2" s="1"/>
  <c r="K21" i="2"/>
  <c r="H4" i="2" l="1"/>
  <c r="A24" i="2"/>
</calcChain>
</file>

<file path=xl/sharedStrings.xml><?xml version="1.0" encoding="utf-8"?>
<sst xmlns="http://schemas.openxmlformats.org/spreadsheetml/2006/main" count="147" uniqueCount="82">
  <si>
    <t>Risk Analysis — Data Entry</t>
  </si>
  <si>
    <t>Enter data here — the Planning View (Sheet 2) auto-sorts by Effective Priority and calculates the cut-line.</t>
  </si>
  <si>
    <t>Based on concepts from Systematic Software Testing by Rick Craig and Stefan Jaskiel</t>
  </si>
  <si>
    <t>Scoring Key:</t>
  </si>
  <si>
    <t>H = 5</t>
  </si>
  <si>
    <t>M = 3</t>
  </si>
  <si>
    <t>L = 1</t>
  </si>
  <si>
    <t>#</t>
  </si>
  <si>
    <t>Objective</t>
  </si>
  <si>
    <t>Inventory</t>
  </si>
  <si>
    <t>Likelihood</t>
  </si>
  <si>
    <t>L Score</t>
  </si>
  <si>
    <t>Impact</t>
  </si>
  <si>
    <t>I Score</t>
  </si>
  <si>
    <t>Priority</t>
  </si>
  <si>
    <t>Adjust (+/-)</t>
  </si>
  <si>
    <t>Eff. Priority</t>
  </si>
  <si>
    <t>Est. Hours</t>
  </si>
  <si>
    <t>Notes / Rationale</t>
  </si>
  <si>
    <t>Rank</t>
  </si>
  <si>
    <t>Authentication</t>
  </si>
  <si>
    <t>Login / Logout</t>
  </si>
  <si>
    <t>H</t>
  </si>
  <si>
    <t>Core user flow; auth provider integration</t>
  </si>
  <si>
    <t>Password Reset</t>
  </si>
  <si>
    <t>M</t>
  </si>
  <si>
    <t>Token-based flow; moderate complexity</t>
  </si>
  <si>
    <t>Session Timeout</t>
  </si>
  <si>
    <t>L</t>
  </si>
  <si>
    <t>Mature implementation; low change rate</t>
  </si>
  <si>
    <t>Shopping Cart</t>
  </si>
  <si>
    <t>Add to Cart</t>
  </si>
  <si>
    <t>High traffic; frequent changes</t>
  </si>
  <si>
    <t>Update Quantity</t>
  </si>
  <si>
    <t>Simple CRUD; well-tested path</t>
  </si>
  <si>
    <t>Remove Item</t>
  </si>
  <si>
    <t>Simple operation; minimal dependencies</t>
  </si>
  <si>
    <t>Checkout</t>
  </si>
  <si>
    <t>Credit Card Payment</t>
  </si>
  <si>
    <t>Payment gateway; PCI; high revenue impact</t>
  </si>
  <si>
    <t>Guest Checkout</t>
  </si>
  <si>
    <t>Alternative path; less tested</t>
  </si>
  <si>
    <t>Coupon Codes</t>
  </si>
  <si>
    <t>Business logic complexity; low impact</t>
  </si>
  <si>
    <t>Tax Calculation</t>
  </si>
  <si>
    <t>Mature engine; regulatory implications</t>
  </si>
  <si>
    <t>Notifications</t>
  </si>
  <si>
    <t>Order Confirmation Email</t>
  </si>
  <si>
    <t>Email service; template rendering</t>
  </si>
  <si>
    <t>Shipping Notifications</t>
  </si>
  <si>
    <t>Third-party API; informational only</t>
  </si>
  <si>
    <t>User Admin</t>
  </si>
  <si>
    <t>User Registration</t>
  </si>
  <si>
    <t>New user onboarding; data integrity</t>
  </si>
  <si>
    <t>Profile Management</t>
  </si>
  <si>
    <t>Simple CRUD; low traffic</t>
  </si>
  <si>
    <t>Reporting</t>
  </si>
  <si>
    <t>Sales Reports</t>
  </si>
  <si>
    <t>Read-only; accuracy matters</t>
  </si>
  <si>
    <t>Inventory Reports</t>
  </si>
  <si>
    <t>Backend reporting; operational visibility</t>
  </si>
  <si>
    <t>Total:</t>
  </si>
  <si>
    <t>hours (estimated execution time)</t>
  </si>
  <si>
    <t>Enter H/M/L in Likelihood and Impact. Adjust (+/-) lets you manually bump priority for individual items — use it to break ties or override the computed ranking. The Planning View sorts by Effective Priority.</t>
  </si>
  <si>
    <t>Planning View — Sorted by Effective Priority</t>
  </si>
  <si>
    <t>Inputs:</t>
  </si>
  <si>
    <t># Testers:</t>
  </si>
  <si>
    <t>Hrs/Tester/Day:</t>
  </si>
  <si>
    <t>Start Date:</t>
  </si>
  <si>
    <t>End Date:</t>
  </si>
  <si>
    <t>Capacity:</t>
  </si>
  <si>
    <t>business days</t>
  </si>
  <si>
    <t>hours available</t>
  </si>
  <si>
    <t>Coverage:</t>
  </si>
  <si>
    <t>Adjust</t>
  </si>
  <si>
    <t>Cum. Hours</t>
  </si>
  <si>
    <t>Status</t>
  </si>
  <si>
    <t>total hours</t>
  </si>
  <si>
    <t>Above cut-line:</t>
  </si>
  <si>
    <t>Risk Analysis Template</t>
  </si>
  <si>
    <t>Copy this sheet for new projects. Enter objectives, inventories, and H/M/L ratings.</t>
  </si>
  <si>
    <t>Adjust (+/-) lets you manually bump priority for individual items to break ties or override computed ranking. Est. Hours is optional.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</si>
</sst>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yyyy\-mm\-dd"/>
  </numFmts>
  <fonts count="17" x14ac:knownFonts="1">
    <font>
      <sz val="11"/>
      <color theme="1"/>
      <name val="Calibri"/>
      <family val="2"/>
      <scheme val="minor"/>
    </font>
    <font>
      <b/>
      <sz val="16"/>
      <color rgb="FF0F766E"/>
      <name val="Arial"/>
    </font>
    <font>
      <i/>
      <sz val="9"/>
      <color rgb="FF64748B"/>
      <name val="Arial"/>
    </font>
    <font>
      <b/>
      <sz val="10"/>
      <color rgb="FF334155"/>
      <name val="Arial"/>
    </font>
    <font>
      <b/>
      <sz val="10"/>
      <color rgb="FFDC2626"/>
      <name val="Arial"/>
    </font>
    <font>
      <b/>
      <sz val="10"/>
      <color rgb="FFD97706"/>
      <name val="Arial"/>
    </font>
    <font>
      <b/>
      <sz val="10"/>
      <color rgb="FF16A34A"/>
      <name val="Arial"/>
    </font>
    <font>
      <b/>
      <sz val="11"/>
      <color rgb="FFFFFFFF"/>
      <name val="Arial"/>
    </font>
    <font>
      <sz val="10"/>
      <color rgb="FF64748B"/>
      <name val="Arial"/>
    </font>
    <font>
      <b/>
      <sz val="11"/>
      <color rgb="FF334155"/>
      <name val="Arial"/>
    </font>
    <font>
      <sz val="11"/>
      <color rgb="FF334155"/>
      <name val="Arial"/>
    </font>
    <font>
      <sz val="11"/>
      <color rgb="FF7C3AED"/>
      <name val="Arial"/>
    </font>
    <font>
      <b/>
      <sz val="11"/>
      <color rgb="FF0F766E"/>
      <name val="Arial"/>
    </font>
    <font>
      <b/>
      <sz val="14"/>
      <color rgb="FF0F766E"/>
      <name val="Arial"/>
    </font>
    <font>
      <b/>
      <sz val="12"/>
      <color rgb="FF334155"/>
      <name val="Arial"/>
    </font>
    <font>
      <sz val="10"/>
      <color rgb="FF7C3AED"/>
      <name val="Arial"/>
    </font>
    <font>
      <sz val="10"/>
      <color rgb="FF334155"/>
      <name val="Arial"/>
    </font>
  </fonts>
  <fills count="8">
    <fill>
      <patternFill patternType="none"/>
    </fill>
    <fill>
      <patternFill patternType="gray125"/>
    </fill>
    <fill>
      <patternFill patternType="solid">
        <fgColor rgb="FF1B2A3D"/>
      </patternFill>
    </fill>
    <fill>
      <patternFill patternType="solid">
        <fgColor rgb="FF7C3AED"/>
      </patternFill>
    </fill>
    <fill>
      <patternFill patternType="solid">
        <fgColor rgb="FFEDE9FE"/>
      </patternFill>
    </fill>
    <fill>
      <patternFill patternType="solid">
        <fgColor rgb="FFFFFFFF"/>
      </patternFill>
    </fill>
    <fill>
      <patternFill patternType="solid">
        <fgColor rgb="FFF5F7FA"/>
      </patternFill>
    </fill>
    <fill>
      <patternFill patternType="solid">
        <fgColor rgb="FFFFF7ED"/>
      </patternFill>
    </fill>
  </fills>
  <borders count="5">
    <border>
      <left/>
      <right/>
      <top/>
      <bottom/>
      <diagonal/>
    </border>
    <border>
      <left style="thin">
        <color rgb="FFE2E8F0"/>
      </left>
      <right style="thin">
        <color rgb="FFE2E8F0"/>
      </right>
      <top style="thin">
        <color rgb="FFE2E8F0"/>
      </top>
      <bottom style="thin">
        <color rgb="FFE2E8F0"/>
      </bottom>
      <diagonal/>
    </border>
    <border>
      <left style="thin">
        <color rgb="FF7C3AED"/>
      </left>
      <right style="thin">
        <color rgb="FF7C3AED"/>
      </right>
      <top style="thin">
        <color rgb="FF7C3AED"/>
      </top>
      <bottom style="thin">
        <color rgb="FF7C3AED"/>
      </bottom>
      <diagonal/>
    </border>
    <border>
      <left style="medium">
        <color rgb="FFD97706"/>
      </left>
      <right style="medium">
        <color rgb="FFD97706"/>
      </right>
      <top style="medium">
        <color rgb="FFD97706"/>
      </top>
      <bottom style="medium">
        <color rgb="FFD97706"/>
      </bottom>
      <diagonal/>
    </border>
    <border>
      <left/>
      <right/>
      <top/>
      <bottom style="medium">
        <color rgb="FF0F766E"/>
      </bottom>
      <diagonal/>
    </border>
  </borders>
  <cellStyleXfs count="1">
    <xf numFmtId="0" fontId="0" fillId="0" borderId="0"/>
  </cellStyleXfs>
  <cellXfs count="50">
    <xf numFmtId="0" fontId="0" fillId="0" borderId="0" xfId="0"/>
    <xf numFmtId="0" fontId="2" fillId="0" borderId="0" xfId="0" applyFont="1" applyAlignment="1">
      <alignment horizontal="left" vertical="center"/>
    </xf>
    <xf numFmtId="0" fontId="3" fillId="0" borderId="0" xfId="0" applyFont="1"/>
    <xf numFmtId="0" fontId="4" fillId="0" borderId="0" xfId="0" applyFont="1"/>
    <xf numFmtId="0" fontId="5" fillId="0" borderId="0" xfId="0" applyFont="1"/>
    <xf numFmtId="0" fontId="6" fillId="0" borderId="0" xfId="0" applyFont="1"/>
    <xf numFmtId="0" fontId="7" fillId="2" borderId="1" xfId="0" applyFont="1" applyFill="1" applyBorder="1" applyAlignment="1">
      <alignment horizontal="center" vertical="center"/>
    </xf>
    <xf numFmtId="0" fontId="7" fillId="3" borderId="1" xfId="0" applyFont="1" applyFill="1" applyBorder="1" applyAlignment="1">
      <alignment horizontal="center" vertical="center"/>
    </xf>
    <xf numFmtId="0" fontId="8" fillId="5" borderId="1" xfId="0" applyFont="1" applyFill="1" applyBorder="1" applyAlignment="1">
      <alignment horizontal="center" vertical="center"/>
    </xf>
    <xf numFmtId="0" fontId="9" fillId="5" borderId="1" xfId="0" applyFont="1" applyFill="1" applyBorder="1" applyAlignment="1">
      <alignment horizontal="left" vertical="center"/>
    </xf>
    <xf numFmtId="0" fontId="10" fillId="5" borderId="1" xfId="0" applyFont="1" applyFill="1" applyBorder="1" applyAlignment="1">
      <alignment horizontal="left" vertical="center"/>
    </xf>
    <xf numFmtId="0" fontId="9" fillId="5" borderId="1" xfId="0" applyFont="1" applyFill="1" applyBorder="1" applyAlignment="1">
      <alignment horizontal="center" vertical="center"/>
    </xf>
    <xf numFmtId="0" fontId="10" fillId="5" borderId="1" xfId="0" applyFont="1" applyFill="1" applyBorder="1" applyAlignment="1">
      <alignment horizontal="center" vertical="center"/>
    </xf>
    <xf numFmtId="0" fontId="11" fillId="4" borderId="2" xfId="0" applyFont="1" applyFill="1" applyBorder="1" applyAlignment="1">
      <alignment horizontal="center" vertical="center"/>
    </xf>
    <xf numFmtId="164" fontId="10" fillId="5" borderId="1" xfId="0" applyNumberFormat="1" applyFont="1" applyFill="1" applyBorder="1" applyAlignment="1">
      <alignment horizontal="center" vertical="center"/>
    </xf>
    <xf numFmtId="0" fontId="8" fillId="5" borderId="1" xfId="0" applyFont="1" applyFill="1" applyBorder="1" applyAlignment="1">
      <alignment horizontal="left" vertical="center" wrapText="1"/>
    </xf>
    <xf numFmtId="0" fontId="8" fillId="6" borderId="1" xfId="0" applyFont="1" applyFill="1" applyBorder="1" applyAlignment="1">
      <alignment horizontal="center" vertical="center"/>
    </xf>
    <xf numFmtId="0" fontId="9" fillId="6" borderId="1" xfId="0" applyFont="1" applyFill="1" applyBorder="1" applyAlignment="1">
      <alignment horizontal="left" vertical="center"/>
    </xf>
    <xf numFmtId="0" fontId="10" fillId="6" borderId="1" xfId="0" applyFont="1" applyFill="1" applyBorder="1" applyAlignment="1">
      <alignment horizontal="left" vertical="center"/>
    </xf>
    <xf numFmtId="0" fontId="9" fillId="6" borderId="1" xfId="0" applyFont="1" applyFill="1" applyBorder="1" applyAlignment="1">
      <alignment horizontal="center" vertical="center"/>
    </xf>
    <xf numFmtId="0" fontId="10" fillId="6" borderId="1" xfId="0" applyFont="1" applyFill="1" applyBorder="1" applyAlignment="1">
      <alignment horizontal="center" vertical="center"/>
    </xf>
    <xf numFmtId="164" fontId="10" fillId="6" borderId="1" xfId="0" applyNumberFormat="1" applyFont="1" applyFill="1" applyBorder="1" applyAlignment="1">
      <alignment horizontal="center" vertical="center"/>
    </xf>
    <xf numFmtId="0" fontId="8" fillId="6" borderId="1" xfId="0" applyFont="1" applyFill="1" applyBorder="1" applyAlignment="1">
      <alignment horizontal="left" vertical="center" wrapText="1"/>
    </xf>
    <xf numFmtId="0" fontId="12" fillId="0" borderId="0" xfId="0" applyFont="1" applyAlignment="1">
      <alignment horizontal="right" vertical="center"/>
    </xf>
    <xf numFmtId="164" fontId="13" fillId="0" borderId="0" xfId="0" applyNumberFormat="1" applyFont="1" applyAlignment="1">
      <alignment horizontal="center" vertical="center"/>
    </xf>
    <xf numFmtId="0" fontId="2" fillId="0" borderId="0" xfId="0" applyFont="1"/>
    <xf numFmtId="0" fontId="14" fillId="7" borderId="3" xfId="0" applyFont="1" applyFill="1" applyBorder="1" applyAlignment="1">
      <alignment horizontal="center" vertical="center"/>
    </xf>
    <xf numFmtId="164" fontId="14" fillId="7" borderId="3" xfId="0" applyNumberFormat="1" applyFont="1" applyFill="1" applyBorder="1" applyAlignment="1">
      <alignment horizontal="center" vertical="center"/>
    </xf>
    <xf numFmtId="165" fontId="14" fillId="7" borderId="3" xfId="0" applyNumberFormat="1" applyFont="1" applyFill="1" applyBorder="1" applyAlignment="1">
      <alignment horizontal="center" vertical="center"/>
    </xf>
    <xf numFmtId="0" fontId="13" fillId="0" borderId="0" xfId="0" applyFont="1" applyAlignment="1">
      <alignment horizontal="center" vertical="center"/>
    </xf>
    <xf numFmtId="0" fontId="10" fillId="0" borderId="0" xfId="0" applyFont="1" applyAlignment="1">
      <alignment horizontal="left" vertical="center"/>
    </xf>
    <xf numFmtId="164" fontId="1" fillId="0" borderId="0" xfId="0" applyNumberFormat="1" applyFont="1" applyAlignment="1">
      <alignment horizontal="center" vertical="center"/>
    </xf>
    <xf numFmtId="0" fontId="1" fillId="0" borderId="0" xfId="0" applyFont="1" applyAlignment="1">
      <alignment horizontal="center" vertical="center"/>
    </xf>
    <xf numFmtId="0" fontId="0" fillId="0" borderId="4" xfId="0" applyBorder="1"/>
    <xf numFmtId="0" fontId="8" fillId="0" borderId="1" xfId="0" applyFont="1" applyBorder="1" applyAlignment="1">
      <alignment horizontal="center" vertical="center"/>
    </xf>
    <xf numFmtId="0" fontId="10" fillId="0" borderId="1" xfId="0" applyFont="1" applyBorder="1" applyAlignment="1">
      <alignment horizontal="left" vertical="center"/>
    </xf>
    <xf numFmtId="0" fontId="9" fillId="0" borderId="1" xfId="0" applyFont="1" applyBorder="1" applyAlignment="1">
      <alignment horizontal="center" vertical="center"/>
    </xf>
    <xf numFmtId="0" fontId="10" fillId="0" borderId="1" xfId="0" applyFont="1" applyBorder="1" applyAlignment="1">
      <alignment horizontal="center" vertical="center"/>
    </xf>
    <xf numFmtId="0" fontId="15" fillId="0" borderId="1" xfId="0" applyFont="1" applyBorder="1" applyAlignment="1">
      <alignment horizontal="center" vertical="center"/>
    </xf>
    <xf numFmtId="164" fontId="10" fillId="0" borderId="1" xfId="0" applyNumberFormat="1" applyFont="1" applyBorder="1" applyAlignment="1">
      <alignment horizontal="center" vertical="center"/>
    </xf>
    <xf numFmtId="164" fontId="9" fillId="0" borderId="1" xfId="0" applyNumberFormat="1" applyFont="1" applyBorder="1" applyAlignment="1">
      <alignment horizontal="center" vertical="center"/>
    </xf>
    <xf numFmtId="0" fontId="16" fillId="0" borderId="1" xfId="0" applyFont="1" applyBorder="1" applyAlignment="1">
      <alignment horizontal="left" vertical="center"/>
    </xf>
    <xf numFmtId="0" fontId="0" fillId="5" borderId="1" xfId="0" applyFill="1" applyBorder="1"/>
    <xf numFmtId="0" fontId="0" fillId="6" borderId="1" xfId="0" applyFill="1" applyBorder="1"/>
    <xf numFmtId="0" fontId="1" fillId="0" borderId="0" xfId="0" applyFont="1"/>
    <xf numFmtId="0" fontId="0" fillId="0" borderId="0" xfId="0"/>
    <xf numFmtId="0" fontId="2" fillId="0" borderId="0" xfId="0" applyFont="1" applyAlignment="1">
      <alignment horizontal="left" vertical="center" wrapText="1"/>
    </xf>
    <xf numFmtId="0" fontId="2" fillId="0" borderId="0" xfId="0" applyFont="1" applyAlignment="1">
      <alignment horizontal="left" vertical="center"/>
    </xf>
    <xf numFmtId="0" fontId="1" fillId="0" borderId="0" xfId="0" applyFont="1" applyAlignment="1">
      <alignment horizontal="left" vertical="center"/>
    </xf>
    <xf numFmtId="0" fontId="2" fillId="0" borderId="0" xfId="0" applyFont="1"/>
  </cellXfs>
  <cellStyles count="1">
    <cellStyle name="Normal" xfId="0" builtinId="0"/>
  </cellStyles>
  <dxfs count="38">
    <dxf>
      <font>
        <b/>
        <sz val="12"/>
        <color rgb="FF16A34A"/>
      </font>
      <fill>
        <patternFill patternType="solid">
          <fgColor rgb="FFF0FDF4"/>
        </patternFill>
      </fill>
    </dxf>
    <dxf>
      <font>
        <b/>
        <sz val="12"/>
        <color rgb="FFD97706"/>
      </font>
      <fill>
        <patternFill patternType="solid">
          <fgColor rgb="FFFFFBEB"/>
        </patternFill>
      </fill>
    </dxf>
    <dxf>
      <font>
        <b/>
        <sz val="12"/>
        <color rgb="FFDC2626"/>
      </font>
      <fill>
        <patternFill patternType="solid">
          <fgColor rgb="FFFEF2F2"/>
        </patternFill>
      </fill>
    </dxf>
    <dxf>
      <font>
        <b/>
        <sz val="12"/>
        <color rgb="FF16A34A"/>
      </font>
      <fill>
        <patternFill patternType="solid">
          <fgColor rgb="FFF0FDF4"/>
        </patternFill>
      </fill>
    </dxf>
    <dxf>
      <font>
        <b/>
        <sz val="12"/>
        <color rgb="FFD97706"/>
      </font>
      <fill>
        <patternFill patternType="solid">
          <fgColor rgb="FFFFFBEB"/>
        </patternFill>
      </fill>
    </dxf>
    <dxf>
      <font>
        <b/>
        <sz val="12"/>
        <color rgb="FFDC2626"/>
      </font>
      <fill>
        <patternFill patternType="solid">
          <fgColor rgb="FFFEF2F2"/>
        </patternFill>
      </fill>
    </dxf>
    <dxf>
      <font>
        <b/>
        <color rgb="FF16A34A"/>
      </font>
      <fill>
        <patternFill patternType="solid">
          <fgColor rgb="FFF0FDF4"/>
        </patternFill>
      </fill>
    </dxf>
    <dxf>
      <font>
        <b/>
        <color rgb="FFD97706"/>
      </font>
      <fill>
        <patternFill patternType="solid">
          <fgColor rgb="FFFFFBEB"/>
        </patternFill>
      </fill>
    </dxf>
    <dxf>
      <font>
        <b/>
        <color rgb="FFDC2626"/>
      </font>
      <fill>
        <patternFill patternType="solid">
          <fgColor rgb="FFFEF2F2"/>
        </patternFill>
      </fill>
    </dxf>
    <dxf>
      <font>
        <b/>
        <color rgb="FF16A34A"/>
      </font>
      <fill>
        <patternFill patternType="solid">
          <fgColor rgb="FFF0FDF4"/>
        </patternFill>
      </fill>
    </dxf>
    <dxf>
      <font>
        <b/>
        <color rgb="FFD97706"/>
      </font>
      <fill>
        <patternFill patternType="solid">
          <fgColor rgb="FFFFFBEB"/>
        </patternFill>
      </fill>
    </dxf>
    <dxf>
      <font>
        <b/>
        <color rgb="FFDC2626"/>
      </font>
      <fill>
        <patternFill patternType="solid">
          <fgColor rgb="FFFEF2F2"/>
        </patternFill>
      </fill>
    </dxf>
    <dxf>
      <font>
        <i/>
        <color rgb="FF64748B"/>
      </font>
      <fill>
        <patternFill patternType="solid">
          <fgColor rgb="FFFEF2F2"/>
        </patternFill>
      </fill>
    </dxf>
    <dxf>
      <font>
        <b/>
        <color rgb="FFD97706"/>
      </font>
      <fill>
        <patternFill patternType="solid">
          <fgColor rgb="FFFFFBEB"/>
        </patternFill>
      </fill>
    </dxf>
    <dxf>
      <font>
        <b/>
        <color rgb="FF16A34A"/>
      </font>
      <fill>
        <patternFill patternType="solid">
          <fgColor rgb="FFF0FDF4"/>
        </patternFill>
      </fill>
    </dxf>
    <dxf>
      <font>
        <b/>
        <sz val="12"/>
        <color rgb="FF16A34A"/>
      </font>
      <fill>
        <patternFill patternType="solid">
          <fgColor rgb="FFF0FDF4"/>
        </patternFill>
      </fill>
    </dxf>
    <dxf>
      <font>
        <b/>
        <sz val="12"/>
        <color rgb="FFD97706"/>
      </font>
      <fill>
        <patternFill patternType="solid">
          <fgColor rgb="FFFFFBEB"/>
        </patternFill>
      </fill>
    </dxf>
    <dxf>
      <font>
        <b/>
        <sz val="12"/>
        <color rgb="FFDC2626"/>
      </font>
      <fill>
        <patternFill patternType="solid">
          <fgColor rgb="FFFEF2F2"/>
        </patternFill>
      </fill>
    </dxf>
    <dxf>
      <font>
        <b/>
        <color rgb="FF7C3AED"/>
      </font>
      <fill>
        <patternFill patternType="solid">
          <fgColor rgb="FFEDE9FE"/>
        </patternFill>
      </fill>
    </dxf>
    <dxf>
      <font>
        <b/>
        <sz val="12"/>
        <color rgb="FF16A34A"/>
      </font>
      <fill>
        <patternFill patternType="solid">
          <fgColor rgb="FFF0FDF4"/>
        </patternFill>
      </fill>
    </dxf>
    <dxf>
      <font>
        <b/>
        <sz val="12"/>
        <color rgb="FFD97706"/>
      </font>
      <fill>
        <patternFill patternType="solid">
          <fgColor rgb="FFFFFBEB"/>
        </patternFill>
      </fill>
    </dxf>
    <dxf>
      <font>
        <b/>
        <sz val="12"/>
        <color rgb="FFDC2626"/>
      </font>
      <fill>
        <patternFill patternType="solid">
          <fgColor rgb="FFFEF2F2"/>
        </patternFill>
      </fill>
    </dxf>
    <dxf>
      <font>
        <b/>
        <color rgb="FF16A34A"/>
      </font>
      <fill>
        <patternFill patternType="solid">
          <fgColor rgb="FFF0FDF4"/>
        </patternFill>
      </fill>
    </dxf>
    <dxf>
      <font>
        <b/>
        <color rgb="FFD97706"/>
      </font>
      <fill>
        <patternFill patternType="solid">
          <fgColor rgb="FFFFFBEB"/>
        </patternFill>
      </fill>
    </dxf>
    <dxf>
      <font>
        <b/>
        <color rgb="FFDC2626"/>
      </font>
      <fill>
        <patternFill patternType="solid">
          <fgColor rgb="FFFEF2F2"/>
        </patternFill>
      </fill>
    </dxf>
    <dxf>
      <font>
        <b/>
        <sz val="12"/>
        <color rgb="FF16A34A"/>
      </font>
      <fill>
        <patternFill patternType="solid">
          <fgColor rgb="FFF0FDF4"/>
        </patternFill>
      </fill>
    </dxf>
    <dxf>
      <font>
        <b/>
        <sz val="12"/>
        <color rgb="FFD97706"/>
      </font>
      <fill>
        <patternFill patternType="solid">
          <fgColor rgb="FFFFFBEB"/>
        </patternFill>
      </fill>
    </dxf>
    <dxf>
      <font>
        <b/>
        <sz val="12"/>
        <color rgb="FFDC2626"/>
      </font>
      <fill>
        <patternFill patternType="solid">
          <fgColor rgb="FFFEF2F2"/>
        </patternFill>
      </fill>
    </dxf>
    <dxf>
      <font>
        <b/>
        <color rgb="FF7C3AED"/>
      </font>
      <fill>
        <patternFill patternType="solid">
          <fgColor rgb="FFEDE9FE"/>
        </patternFill>
      </fill>
    </dxf>
    <dxf>
      <font>
        <b/>
        <sz val="12"/>
        <color rgb="FF16A34A"/>
      </font>
      <fill>
        <patternFill patternType="solid">
          <fgColor rgb="FFF0FDF4"/>
        </patternFill>
      </fill>
    </dxf>
    <dxf>
      <font>
        <b/>
        <sz val="12"/>
        <color rgb="FFD97706"/>
      </font>
      <fill>
        <patternFill patternType="solid">
          <fgColor rgb="FFFFFBEB"/>
        </patternFill>
      </fill>
    </dxf>
    <dxf>
      <font>
        <b/>
        <sz val="12"/>
        <color rgb="FFDC2626"/>
      </font>
      <fill>
        <patternFill patternType="solid">
          <fgColor rgb="FFFEF2F2"/>
        </patternFill>
      </fill>
    </dxf>
    <dxf>
      <font>
        <b/>
        <color rgb="FF16A34A"/>
      </font>
      <fill>
        <patternFill patternType="solid">
          <fgColor rgb="FFF0FDF4"/>
        </patternFill>
      </fill>
    </dxf>
    <dxf>
      <font>
        <b/>
        <color rgb="FFD97706"/>
      </font>
      <fill>
        <patternFill patternType="solid">
          <fgColor rgb="FFFFFBEB"/>
        </patternFill>
      </fill>
    </dxf>
    <dxf>
      <font>
        <b/>
        <color rgb="FFDC2626"/>
      </font>
      <fill>
        <patternFill patternType="solid">
          <fgColor rgb="FFFEF2F2"/>
        </patternFill>
      </fill>
    </dxf>
    <dxf>
      <font>
        <b/>
        <color rgb="FF16A34A"/>
      </font>
      <fill>
        <patternFill patternType="solid">
          <fgColor rgb="FFF0FDF4"/>
        </patternFill>
      </fill>
    </dxf>
    <dxf>
      <font>
        <b/>
        <color rgb="FFD97706"/>
      </font>
      <fill>
        <patternFill patternType="solid">
          <fgColor rgb="FFFFFBEB"/>
        </patternFill>
      </fill>
    </dxf>
    <dxf>
      <font>
        <b/>
        <color rgb="FFDC2626"/>
      </font>
      <fill>
        <patternFill patternType="solid">
          <fgColor rgb="FFFEF2F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581024</xdr:colOff>
      <xdr:row>0</xdr:row>
      <xdr:rowOff>190499</xdr:rowOff>
    </xdr:from>
    <xdr:to>
      <xdr:col>26</xdr:col>
      <xdr:colOff>419100</xdr:colOff>
      <xdr:row>69</xdr:row>
      <xdr:rowOff>47625</xdr:rowOff>
    </xdr:to>
    <xdr:sp macro="" textlink="">
      <xdr:nvSpPr>
        <xdr:cNvPr id="2" name="TextBox 1">
          <a:extLst>
            <a:ext uri="{FF2B5EF4-FFF2-40B4-BE49-F238E27FC236}">
              <a16:creationId xmlns:a16="http://schemas.microsoft.com/office/drawing/2014/main" id="{A4C443F1-98DC-B8A9-AC24-E7F60699C570}"/>
            </a:ext>
          </a:extLst>
        </xdr:cNvPr>
        <xdr:cNvSpPr txBox="1"/>
      </xdr:nvSpPr>
      <xdr:spPr>
        <a:xfrm>
          <a:off x="581024" y="190499"/>
          <a:ext cx="15687676" cy="130016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Risk Analysis Template — How to Use This Spreadsheet</a:t>
          </a:r>
        </a:p>
        <a:p>
          <a:endParaRPr lang="en-US" sz="1400"/>
        </a:p>
        <a:p>
          <a:r>
            <a:rPr lang="en-US" sz="1400" b="1"/>
            <a:t>Purpose</a:t>
          </a:r>
          <a:endParaRPr lang="en-US" sz="1400"/>
        </a:p>
        <a:p>
          <a:r>
            <a:rPr lang="en-US" sz="1400"/>
            <a:t>This spreadsheet supports the risk analysis process described in the Test Analysis and Design training series. It helps your team prioritize test inventories by assessed risk and plan testing effort against available capacity. The output is a ranked, visible list of what gets tested, what gets deferred, and why.</a:t>
          </a:r>
        </a:p>
        <a:p>
          <a:endParaRPr lang="en-US" sz="1400" b="1"/>
        </a:p>
        <a:p>
          <a:r>
            <a:rPr lang="en-US" sz="1400" b="1"/>
            <a:t>Overview of Sheets</a:t>
          </a:r>
          <a:endParaRPr lang="en-US" sz="1400"/>
        </a:p>
        <a:p>
          <a:r>
            <a:rPr lang="en-US" sz="1400"/>
            <a:t>This workbook contains three working sheets:</a:t>
          </a:r>
        </a:p>
        <a:p>
          <a:r>
            <a:rPr lang="en-US" sz="1400" i="1"/>
            <a:t>Risk Analysis</a:t>
          </a:r>
          <a:r>
            <a:rPr lang="en-US" sz="1400"/>
            <a:t> — This is your data entry sheet. Enter your test objectives, inventory items, likelihood and impact ratings, estimated execution hours, and any notes or rationale. Scores, priority, and rank calculate automatically.</a:t>
          </a:r>
        </a:p>
        <a:p>
          <a:r>
            <a:rPr lang="en-US" sz="1400" i="1"/>
            <a:t>Planning View</a:t>
          </a:r>
          <a:r>
            <a:rPr lang="en-US" sz="1400"/>
            <a:t> — This sheet auto-sorts your data by effective priority (highest first) and calculates the cut-line based on your team's available capacity. You do not edit this sheet directly — it pulls everything from the Risk Analysis sheet.</a:t>
          </a:r>
        </a:p>
        <a:p>
          <a:r>
            <a:rPr lang="en-US" sz="1400" i="1"/>
            <a:t>Template</a:t>
          </a:r>
          <a:r>
            <a:rPr lang="en-US" sz="1400"/>
            <a:t> — A blank version of the Risk Analysis sheet. Copy this tab when starting a new project or release cycle.</a:t>
          </a:r>
        </a:p>
        <a:p>
          <a:endParaRPr lang="en-US" sz="1400" b="1"/>
        </a:p>
        <a:p>
          <a:r>
            <a:rPr lang="en-US" sz="1400" b="1"/>
            <a:t>Getting Started</a:t>
          </a:r>
          <a:endParaRPr lang="en-US" sz="1400"/>
        </a:p>
        <a:p>
          <a:r>
            <a:rPr lang="en-US" sz="1400"/>
            <a:t>Go to the Risk Analysis sheet.</a:t>
          </a:r>
        </a:p>
        <a:p>
          <a:r>
            <a:rPr lang="en-US" sz="1400"/>
            <a:t>For each inventory item, enter the Objective (the broad category it belongs to), the Inventory name (the specific testable item), and Likelihood and Impact ratings using H, M, or L.</a:t>
          </a:r>
        </a:p>
        <a:p>
          <a:r>
            <a:rPr lang="en-US" sz="1400"/>
            <a:t>The L Score, I Score, Priority, Effective Priority, and Rank columns calculate automatically. Do not overwrite these formulas.</a:t>
          </a:r>
        </a:p>
        <a:p>
          <a:r>
            <a:rPr lang="en-US" sz="1400"/>
            <a:t>Optionally, enter estimated test execution hours in the Est. Hours column. These feed the capacity planning on the Planning View.</a:t>
          </a:r>
        </a:p>
        <a:p>
          <a:r>
            <a:rPr lang="en-US" sz="1400"/>
            <a:t>Optionally, add notes explaining the rationale for your ratings. This is especially useful during the Review and Modify step.</a:t>
          </a:r>
        </a:p>
        <a:p>
          <a:endParaRPr lang="en-US" sz="1400" b="1"/>
        </a:p>
        <a:p>
          <a:r>
            <a:rPr lang="en-US" sz="1400" b="1"/>
            <a:t>Understanding the Columns</a:t>
          </a:r>
          <a:endParaRPr lang="en-US" sz="1400"/>
        </a:p>
        <a:p>
          <a:r>
            <a:rPr lang="en-US" sz="1400" i="1"/>
            <a:t>Likelihood (H/M/L)</a:t>
          </a:r>
          <a:r>
            <a:rPr lang="en-US" sz="1400"/>
            <a:t> — How likely is this inventory item to fail or behave incorrectly? Consider code complexity, rate of change, historical defects, whether the feature is new or mature, and integration dependencies.</a:t>
          </a:r>
        </a:p>
        <a:p>
          <a:r>
            <a:rPr lang="en-US" sz="1400" i="1"/>
            <a:t>Impact (H/M/L)</a:t>
          </a:r>
          <a:r>
            <a:rPr lang="en-US" sz="1400"/>
            <a:t> — If this item fails, what is the impact to the user or business? Consider revenue impact, number of users affected, data integrity risk, workaround availability, and regulatory or compliance implications.</a:t>
          </a:r>
        </a:p>
        <a:p>
          <a:r>
            <a:rPr lang="en-US" sz="1400" i="1"/>
            <a:t>Priority</a:t>
          </a:r>
          <a:r>
            <a:rPr lang="en-US" sz="1400"/>
            <a:t> — Computed automatically. Likelihood score multiplied by Impact score. High = 5, Medium = 3, Low = 1. A High likelihood and High impact item scores 25. A Low/Low item scores 1.</a:t>
          </a:r>
        </a:p>
        <a:p>
          <a:r>
            <a:rPr lang="en-US" sz="1400" i="1"/>
            <a:t>Adjust (+/-)</a:t>
          </a:r>
          <a:r>
            <a:rPr lang="en-US" sz="1400"/>
            <a:t> — Optional manual override. Use this to bump an item's priority up or down to break ties or reflect context the formula can't capture. For example, if two items both score 9 but you know one was recently refactored and carries more risk, add +2 to that item. Only touch the rows you want to adjust — leave everything else at 0. Non-zero values are highlighted in purple so adjustments are visible.</a:t>
          </a:r>
        </a:p>
        <a:p>
          <a:r>
            <a:rPr lang="en-US" sz="1400" i="1"/>
            <a:t>Effective Priority</a:t>
          </a:r>
          <a:r>
            <a:rPr lang="en-US" sz="1400"/>
            <a:t> — Priority plus Adjust. This is what the Planning View sorts on.</a:t>
          </a:r>
        </a:p>
        <a:p>
          <a:r>
            <a:rPr lang="en-US" sz="1400" i="1"/>
            <a:t>Est. Hours</a:t>
          </a:r>
          <a:r>
            <a:rPr lang="en-US" sz="1400"/>
            <a:t> — Estimated test execution time for this inventory item. This is execution time only — not test design, environment setup, or defect verification. These estimates support the capacity calculation on the Planning View.</a:t>
          </a:r>
        </a:p>
        <a:p>
          <a:r>
            <a:rPr lang="en-US" sz="1400" i="1"/>
            <a:t>Rank</a:t>
          </a:r>
          <a:r>
            <a:rPr lang="en-US" sz="1400"/>
            <a:t> — Computed automatically from Effective Priority. The item with the highest effective priority is ranked 1. Ties are broken by row order.</a:t>
          </a:r>
        </a:p>
        <a:p>
          <a:endParaRPr lang="en-US" sz="1400" b="1"/>
        </a:p>
        <a:p>
          <a:r>
            <a:rPr lang="en-US" sz="1400" b="1"/>
            <a:t>Using the Planning View</a:t>
          </a:r>
          <a:endParaRPr lang="en-US" sz="1400"/>
        </a:p>
        <a:p>
          <a:r>
            <a:rPr lang="en-US" sz="1400"/>
            <a:t>The Planning View has four editable input cells at the top (highlighted in amber):</a:t>
          </a:r>
        </a:p>
        <a:p>
          <a:r>
            <a:rPr lang="en-US" sz="1400" i="1"/>
            <a:t># of Testers</a:t>
          </a:r>
          <a:r>
            <a:rPr lang="en-US" sz="1400"/>
            <a:t> — How many testers are available for this cycle.</a:t>
          </a:r>
        </a:p>
        <a:p>
          <a:r>
            <a:rPr lang="en-US" sz="1400" i="1"/>
            <a:t>Hrs / Tester / Day</a:t>
          </a:r>
          <a:r>
            <a:rPr lang="en-US" sz="1400"/>
            <a:t> — Effective testing hours per tester per day. This should reflect actual execution time, accounting for meetings, context switching, and other overhead. A typical value is 4-6 hours.</a:t>
          </a:r>
        </a:p>
        <a:p>
          <a:r>
            <a:rPr lang="en-US" sz="1400" i="1"/>
            <a:t>Start Date</a:t>
          </a:r>
          <a:r>
            <a:rPr lang="en-US" sz="1400"/>
            <a:t> — First day of the testing window.</a:t>
          </a:r>
        </a:p>
        <a:p>
          <a:r>
            <a:rPr lang="en-US" sz="1400" i="1"/>
            <a:t>End Date</a:t>
          </a:r>
          <a:r>
            <a:rPr lang="en-US" sz="1400"/>
            <a:t> — Last day of the testing window.</a:t>
          </a:r>
        </a:p>
        <a:p>
          <a:r>
            <a:rPr lang="en-US" sz="1400"/>
            <a:t>From these inputs, the sheet calculates available capacity in hours (testers × hours/day × business days, excluding weekends). Each inventory item's Status column is then set automatically:</a:t>
          </a:r>
        </a:p>
        <a:p>
          <a:r>
            <a:rPr lang="en-US" sz="1400" i="1"/>
            <a:t>Test this cycle</a:t>
          </a:r>
          <a:r>
            <a:rPr lang="en-US" sz="1400"/>
            <a:t> — The item's cumulative hours fall within available capacity. This item is above the cut-line.</a:t>
          </a:r>
        </a:p>
        <a:p>
          <a:r>
            <a:rPr lang="en-US" sz="1400" i="1"/>
            <a:t>At capacity</a:t>
          </a:r>
          <a:r>
            <a:rPr lang="en-US" sz="1400"/>
            <a:t> — This is the boundary item where cumulative hours exceed available capacity. This is where the cut-line falls.</a:t>
          </a:r>
        </a:p>
        <a:p>
          <a:r>
            <a:rPr lang="en-US" sz="1400" i="1"/>
            <a:t>Deferred</a:t>
          </a:r>
          <a:r>
            <a:rPr lang="en-US" sz="1400"/>
            <a:t> — This item falls below the cut-line. It is not scheduled for this cycle.</a:t>
          </a:r>
        </a:p>
        <a:p>
          <a:r>
            <a:rPr lang="en-US" sz="1400"/>
            <a:t>To move the cut-line, change any of the four planning inputs. For example, changing the end date from June 5 to June 3 reduces available hours, and items that were previously above the cut-line will move to Deferred. You can also move the cut-line by adjusting Adjust (+/-) values on the Risk Analysis sheet to change which items rank higher.</a:t>
          </a:r>
        </a:p>
        <a:p>
          <a:endParaRPr lang="en-US" sz="1400" b="1"/>
        </a:p>
        <a:p>
          <a:r>
            <a:rPr lang="en-US" sz="1400" b="1"/>
            <a:t>Important Notes</a:t>
          </a:r>
          <a:endParaRPr lang="en-US" sz="1400"/>
        </a:p>
        <a:p>
          <a:r>
            <a:rPr lang="en-US" sz="1400"/>
            <a:t>Every row on the Risk Analysis sheet must have an Objective value. Do not leave the Objective column blank for items that share an objective — enter the objective name on every row. The Planning View re-sorts rows by priority, so blank objectives will appear under the wrong group.</a:t>
          </a:r>
        </a:p>
        <a:p>
          <a:r>
            <a:rPr lang="en-US" sz="1400"/>
            <a:t>Likelihood and Impact must be entered as a single letter: H, M, or L (uppercase). Other values will not compute correctly.</a:t>
          </a:r>
        </a:p>
        <a:p>
          <a:r>
            <a:rPr lang="en-US" sz="1400"/>
            <a:t>The Planning View is read-only. All edits (except the four planning inputs) should be made on the Risk Analysis sheet.</a:t>
          </a:r>
        </a:p>
        <a:p>
          <a:r>
            <a:rPr lang="en-US" sz="1400"/>
            <a:t>Rank values must be unique for the Planning View to work correctly. The formula handles this automatically. If you overwrite a Rank cell with a manual value, ensure no duplicates exist.</a:t>
          </a:r>
        </a:p>
        <a:p>
          <a:r>
            <a:rPr lang="en-US" sz="1400"/>
            <a:t>Est. Hours is optional but recommended. Without it, the capacity planning on the Planning View cannot calculate the cut-line.</a:t>
          </a:r>
        </a:p>
        <a:p>
          <a:endParaRPr lang="en-US" sz="1400"/>
        </a:p>
        <a:p>
          <a:r>
            <a:rPr lang="en-US" sz="1400" b="1"/>
            <a:t>Maintaining This Over Time</a:t>
          </a:r>
          <a:endParaRPr lang="en-US" sz="1400"/>
        </a:p>
        <a:p>
          <a:r>
            <a:rPr lang="en-US" sz="1400"/>
            <a:t>This analysis should be revisited when significant changes occur: new features ship, major refactoring is completed, a new release cycle begins, or customer-reported defect patterns change. Copy the Template sheet to start fresh, or update the existing Risk Analysis sheet to reflect the current state.</a:t>
          </a:r>
        </a:p>
        <a:p>
          <a:endParaRPr lang="en-US" sz="1400"/>
        </a:p>
        <a:p>
          <a:r>
            <a:rPr lang="en-US" sz="1400"/>
            <a:t>The Adjust (+/-) column values should be reviewed each cycle. An adjustment that made sense last release may no longer apply.</a:t>
          </a:r>
        </a:p>
        <a:p>
          <a:endParaRPr lang="en-US" sz="14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3F682-F237-42F9-B7CA-19A20B0D005C}">
  <dimension ref="A1"/>
  <sheetViews>
    <sheetView topLeftCell="A37" workbookViewId="0">
      <selection activeCell="M74" sqref="M74"/>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25"/>
  <sheetViews>
    <sheetView workbookViewId="0">
      <selection activeCell="K19" sqref="K19"/>
    </sheetView>
  </sheetViews>
  <sheetFormatPr defaultRowHeight="15" x14ac:dyDescent="0.25"/>
  <cols>
    <col min="1" max="1" width="4" customWidth="1"/>
    <col min="2" max="2" width="20" customWidth="1"/>
    <col min="3" max="3" width="24" customWidth="1"/>
    <col min="4" max="4" width="12" customWidth="1"/>
    <col min="5" max="5" width="10" customWidth="1"/>
    <col min="6" max="6" width="12" customWidth="1"/>
    <col min="7" max="7" width="10" customWidth="1"/>
    <col min="8" max="8" width="11" customWidth="1"/>
    <col min="9" max="9" width="10" customWidth="1"/>
    <col min="10" max="10" width="11" customWidth="1"/>
    <col min="11" max="11" width="13.140625" customWidth="1"/>
    <col min="12" max="12" width="28" customWidth="1"/>
    <col min="13" max="13" width="8" customWidth="1"/>
  </cols>
  <sheetData>
    <row r="1" spans="1:13" ht="20.25" x14ac:dyDescent="0.25">
      <c r="A1" s="48" t="s">
        <v>0</v>
      </c>
      <c r="B1" s="45"/>
      <c r="C1" s="45"/>
      <c r="D1" s="45"/>
      <c r="E1" s="45"/>
      <c r="F1" s="45"/>
      <c r="G1" s="45"/>
      <c r="H1" s="45"/>
      <c r="I1" s="45"/>
      <c r="J1" s="45"/>
      <c r="K1" s="45"/>
      <c r="L1" s="45"/>
    </row>
    <row r="2" spans="1:13" x14ac:dyDescent="0.25">
      <c r="A2" s="47" t="s">
        <v>1</v>
      </c>
      <c r="B2" s="45"/>
      <c r="C2" s="45"/>
      <c r="D2" s="45"/>
      <c r="E2" s="45"/>
      <c r="F2" s="45"/>
      <c r="G2" s="45"/>
      <c r="H2" s="45"/>
      <c r="I2" s="45"/>
      <c r="J2" s="45"/>
      <c r="K2" s="45"/>
      <c r="L2" s="45"/>
    </row>
    <row r="3" spans="1:13" x14ac:dyDescent="0.25">
      <c r="A3" s="47" t="s">
        <v>2</v>
      </c>
      <c r="B3" s="45"/>
      <c r="C3" s="45"/>
      <c r="D3" s="45"/>
      <c r="E3" s="45"/>
      <c r="F3" s="45"/>
      <c r="G3" s="45"/>
      <c r="H3" s="45"/>
      <c r="I3" s="45"/>
      <c r="J3" s="45"/>
      <c r="K3" s="45"/>
      <c r="L3" s="45"/>
    </row>
    <row r="4" spans="1:13" x14ac:dyDescent="0.25">
      <c r="G4" s="2" t="s">
        <v>3</v>
      </c>
      <c r="H4" s="3" t="s">
        <v>4</v>
      </c>
      <c r="I4" s="4" t="s">
        <v>5</v>
      </c>
      <c r="J4" s="5" t="s">
        <v>6</v>
      </c>
    </row>
    <row r="6" spans="1:13" ht="27.95" customHeight="1" x14ac:dyDescent="0.25">
      <c r="A6" s="6" t="s">
        <v>7</v>
      </c>
      <c r="B6" s="6" t="s">
        <v>8</v>
      </c>
      <c r="C6" s="6" t="s">
        <v>9</v>
      </c>
      <c r="D6" s="6" t="s">
        <v>10</v>
      </c>
      <c r="E6" s="6" t="s">
        <v>11</v>
      </c>
      <c r="F6" s="6" t="s">
        <v>12</v>
      </c>
      <c r="G6" s="6" t="s">
        <v>13</v>
      </c>
      <c r="H6" s="6" t="s">
        <v>14</v>
      </c>
      <c r="I6" s="7" t="s">
        <v>15</v>
      </c>
      <c r="J6" s="6" t="s">
        <v>16</v>
      </c>
      <c r="K6" s="6" t="s">
        <v>17</v>
      </c>
      <c r="L6" s="6" t="s">
        <v>18</v>
      </c>
      <c r="M6" s="6" t="s">
        <v>19</v>
      </c>
    </row>
    <row r="7" spans="1:13" ht="21.95" customHeight="1" x14ac:dyDescent="0.25">
      <c r="A7" s="8">
        <v>1</v>
      </c>
      <c r="B7" s="9" t="s">
        <v>20</v>
      </c>
      <c r="C7" s="10" t="s">
        <v>21</v>
      </c>
      <c r="D7" s="11" t="s">
        <v>22</v>
      </c>
      <c r="E7" s="12">
        <f t="shared" ref="E7:E22" si="0">IF(D7="H",5,IF(D7="M",3,IF(D7="L",1,0)))</f>
        <v>5</v>
      </c>
      <c r="F7" s="11" t="s">
        <v>22</v>
      </c>
      <c r="G7" s="12">
        <f t="shared" ref="G7:G22" si="1">IF(F7="H",5,IF(F7="M",3,IF(F7="L",1,0)))</f>
        <v>5</v>
      </c>
      <c r="H7" s="11">
        <f t="shared" ref="H7:H22" si="2">E7*G7</f>
        <v>25</v>
      </c>
      <c r="I7" s="13">
        <v>0</v>
      </c>
      <c r="J7" s="11">
        <f t="shared" ref="J7:J22" si="3">H7+I7</f>
        <v>25</v>
      </c>
      <c r="K7" s="14">
        <v>3</v>
      </c>
      <c r="L7" s="15" t="s">
        <v>23</v>
      </c>
      <c r="M7" s="8">
        <f>_xlfn.RANK.EQ(J7,$J$7:$J$22,0)+COUNTIFS($J$7:$J$22,J7,$A$7:$A$22,"&lt;"&amp;A7)</f>
        <v>1</v>
      </c>
    </row>
    <row r="8" spans="1:13" ht="21.95" customHeight="1" x14ac:dyDescent="0.25">
      <c r="A8" s="16">
        <v>2</v>
      </c>
      <c r="B8" s="17" t="s">
        <v>20</v>
      </c>
      <c r="C8" s="18" t="s">
        <v>24</v>
      </c>
      <c r="D8" s="19" t="s">
        <v>25</v>
      </c>
      <c r="E8" s="20">
        <f t="shared" si="0"/>
        <v>3</v>
      </c>
      <c r="F8" s="19" t="s">
        <v>25</v>
      </c>
      <c r="G8" s="20">
        <f t="shared" si="1"/>
        <v>3</v>
      </c>
      <c r="H8" s="19">
        <f t="shared" si="2"/>
        <v>9</v>
      </c>
      <c r="I8" s="13">
        <v>0</v>
      </c>
      <c r="J8" s="19">
        <f t="shared" si="3"/>
        <v>9</v>
      </c>
      <c r="K8" s="21">
        <v>2</v>
      </c>
      <c r="L8" s="22" t="s">
        <v>26</v>
      </c>
      <c r="M8" s="8">
        <f t="shared" ref="M8:M22" si="4">_xlfn.RANK.EQ(J8,$J$7:$J$22,0)+COUNTIFS($J$7:$J$22,J8,$A$7:$A$22,"&lt;"&amp;A8)</f>
        <v>6</v>
      </c>
    </row>
    <row r="9" spans="1:13" ht="21.95" customHeight="1" x14ac:dyDescent="0.25">
      <c r="A9" s="8">
        <v>3</v>
      </c>
      <c r="B9" s="9" t="s">
        <v>20</v>
      </c>
      <c r="C9" s="10" t="s">
        <v>27</v>
      </c>
      <c r="D9" s="11" t="s">
        <v>28</v>
      </c>
      <c r="E9" s="12">
        <f t="shared" si="0"/>
        <v>1</v>
      </c>
      <c r="F9" s="11" t="s">
        <v>25</v>
      </c>
      <c r="G9" s="12">
        <f t="shared" si="1"/>
        <v>3</v>
      </c>
      <c r="H9" s="11">
        <f t="shared" si="2"/>
        <v>3</v>
      </c>
      <c r="I9" s="13">
        <v>0</v>
      </c>
      <c r="J9" s="11">
        <f t="shared" si="3"/>
        <v>3</v>
      </c>
      <c r="K9" s="14">
        <v>1</v>
      </c>
      <c r="L9" s="15" t="s">
        <v>29</v>
      </c>
      <c r="M9" s="8">
        <f t="shared" si="4"/>
        <v>9</v>
      </c>
    </row>
    <row r="10" spans="1:13" ht="21.95" customHeight="1" x14ac:dyDescent="0.25">
      <c r="A10" s="16">
        <v>4</v>
      </c>
      <c r="B10" s="17" t="s">
        <v>30</v>
      </c>
      <c r="C10" s="18" t="s">
        <v>31</v>
      </c>
      <c r="D10" s="19" t="s">
        <v>22</v>
      </c>
      <c r="E10" s="20">
        <f t="shared" si="0"/>
        <v>5</v>
      </c>
      <c r="F10" s="19" t="s">
        <v>22</v>
      </c>
      <c r="G10" s="20">
        <f t="shared" si="1"/>
        <v>5</v>
      </c>
      <c r="H10" s="19">
        <f t="shared" si="2"/>
        <v>25</v>
      </c>
      <c r="I10" s="13">
        <v>0</v>
      </c>
      <c r="J10" s="19">
        <f t="shared" si="3"/>
        <v>25</v>
      </c>
      <c r="K10" s="21">
        <v>3</v>
      </c>
      <c r="L10" s="22" t="s">
        <v>32</v>
      </c>
      <c r="M10" s="8">
        <f t="shared" si="4"/>
        <v>2</v>
      </c>
    </row>
    <row r="11" spans="1:13" ht="21.95" customHeight="1" x14ac:dyDescent="0.25">
      <c r="A11" s="8">
        <v>5</v>
      </c>
      <c r="B11" s="9" t="s">
        <v>30</v>
      </c>
      <c r="C11" s="10" t="s">
        <v>33</v>
      </c>
      <c r="D11" s="11" t="s">
        <v>28</v>
      </c>
      <c r="E11" s="12">
        <f t="shared" si="0"/>
        <v>1</v>
      </c>
      <c r="F11" s="11" t="s">
        <v>25</v>
      </c>
      <c r="G11" s="12">
        <f t="shared" si="1"/>
        <v>3</v>
      </c>
      <c r="H11" s="11">
        <f t="shared" si="2"/>
        <v>3</v>
      </c>
      <c r="I11" s="13">
        <v>0</v>
      </c>
      <c r="J11" s="11">
        <f t="shared" si="3"/>
        <v>3</v>
      </c>
      <c r="K11" s="14">
        <v>1</v>
      </c>
      <c r="L11" s="15" t="s">
        <v>34</v>
      </c>
      <c r="M11" s="8">
        <f t="shared" si="4"/>
        <v>10</v>
      </c>
    </row>
    <row r="12" spans="1:13" ht="21.95" customHeight="1" x14ac:dyDescent="0.25">
      <c r="A12" s="16">
        <v>6</v>
      </c>
      <c r="B12" s="17" t="s">
        <v>30</v>
      </c>
      <c r="C12" s="18" t="s">
        <v>35</v>
      </c>
      <c r="D12" s="19" t="s">
        <v>28</v>
      </c>
      <c r="E12" s="20">
        <f t="shared" si="0"/>
        <v>1</v>
      </c>
      <c r="F12" s="19" t="s">
        <v>28</v>
      </c>
      <c r="G12" s="20">
        <f t="shared" si="1"/>
        <v>1</v>
      </c>
      <c r="H12" s="19">
        <f t="shared" si="2"/>
        <v>1</v>
      </c>
      <c r="I12" s="13">
        <v>0</v>
      </c>
      <c r="J12" s="19">
        <f t="shared" si="3"/>
        <v>1</v>
      </c>
      <c r="K12" s="21">
        <v>1</v>
      </c>
      <c r="L12" s="22" t="s">
        <v>36</v>
      </c>
      <c r="M12" s="8">
        <f t="shared" si="4"/>
        <v>14</v>
      </c>
    </row>
    <row r="13" spans="1:13" ht="21.95" customHeight="1" x14ac:dyDescent="0.25">
      <c r="A13" s="8">
        <v>7</v>
      </c>
      <c r="B13" s="9" t="s">
        <v>37</v>
      </c>
      <c r="C13" s="10" t="s">
        <v>38</v>
      </c>
      <c r="D13" s="11" t="s">
        <v>22</v>
      </c>
      <c r="E13" s="12">
        <f t="shared" si="0"/>
        <v>5</v>
      </c>
      <c r="F13" s="11" t="s">
        <v>22</v>
      </c>
      <c r="G13" s="12">
        <f t="shared" si="1"/>
        <v>5</v>
      </c>
      <c r="H13" s="11">
        <f t="shared" si="2"/>
        <v>25</v>
      </c>
      <c r="I13" s="13">
        <v>0</v>
      </c>
      <c r="J13" s="11">
        <f t="shared" si="3"/>
        <v>25</v>
      </c>
      <c r="K13" s="14">
        <v>3</v>
      </c>
      <c r="L13" s="15" t="s">
        <v>39</v>
      </c>
      <c r="M13" s="8">
        <f t="shared" si="4"/>
        <v>3</v>
      </c>
    </row>
    <row r="14" spans="1:13" ht="21.95" customHeight="1" x14ac:dyDescent="0.25">
      <c r="A14" s="16">
        <v>8</v>
      </c>
      <c r="B14" s="17" t="s">
        <v>37</v>
      </c>
      <c r="C14" s="18" t="s">
        <v>40</v>
      </c>
      <c r="D14" s="19" t="s">
        <v>22</v>
      </c>
      <c r="E14" s="20">
        <f t="shared" si="0"/>
        <v>5</v>
      </c>
      <c r="F14" s="19" t="s">
        <v>22</v>
      </c>
      <c r="G14" s="20">
        <f t="shared" si="1"/>
        <v>5</v>
      </c>
      <c r="H14" s="19">
        <f t="shared" si="2"/>
        <v>25</v>
      </c>
      <c r="I14" s="13">
        <v>0</v>
      </c>
      <c r="J14" s="19">
        <f t="shared" si="3"/>
        <v>25</v>
      </c>
      <c r="K14" s="21">
        <v>2.5</v>
      </c>
      <c r="L14" s="22" t="s">
        <v>41</v>
      </c>
      <c r="M14" s="8">
        <f t="shared" si="4"/>
        <v>4</v>
      </c>
    </row>
    <row r="15" spans="1:13" ht="21.95" customHeight="1" x14ac:dyDescent="0.25">
      <c r="A15" s="8">
        <v>9</v>
      </c>
      <c r="B15" s="9" t="s">
        <v>37</v>
      </c>
      <c r="C15" s="10" t="s">
        <v>42</v>
      </c>
      <c r="D15" s="11" t="s">
        <v>25</v>
      </c>
      <c r="E15" s="12">
        <f t="shared" si="0"/>
        <v>3</v>
      </c>
      <c r="F15" s="11" t="s">
        <v>28</v>
      </c>
      <c r="G15" s="12">
        <f t="shared" si="1"/>
        <v>1</v>
      </c>
      <c r="H15" s="11">
        <f t="shared" si="2"/>
        <v>3</v>
      </c>
      <c r="I15" s="13">
        <v>0</v>
      </c>
      <c r="J15" s="11">
        <f t="shared" si="3"/>
        <v>3</v>
      </c>
      <c r="K15" s="14">
        <v>2</v>
      </c>
      <c r="L15" s="15" t="s">
        <v>43</v>
      </c>
      <c r="M15" s="8">
        <f t="shared" si="4"/>
        <v>11</v>
      </c>
    </row>
    <row r="16" spans="1:13" ht="21.95" customHeight="1" x14ac:dyDescent="0.25">
      <c r="A16" s="16">
        <v>10</v>
      </c>
      <c r="B16" s="17" t="s">
        <v>37</v>
      </c>
      <c r="C16" s="18" t="s">
        <v>44</v>
      </c>
      <c r="D16" s="19" t="s">
        <v>28</v>
      </c>
      <c r="E16" s="20">
        <f t="shared" si="0"/>
        <v>1</v>
      </c>
      <c r="F16" s="19" t="s">
        <v>22</v>
      </c>
      <c r="G16" s="20">
        <f t="shared" si="1"/>
        <v>5</v>
      </c>
      <c r="H16" s="19">
        <f t="shared" si="2"/>
        <v>5</v>
      </c>
      <c r="I16" s="13">
        <v>0</v>
      </c>
      <c r="J16" s="19">
        <f t="shared" si="3"/>
        <v>5</v>
      </c>
      <c r="K16" s="21">
        <v>2</v>
      </c>
      <c r="L16" s="22" t="s">
        <v>45</v>
      </c>
      <c r="M16" s="8">
        <f t="shared" si="4"/>
        <v>8</v>
      </c>
    </row>
    <row r="17" spans="1:13" ht="21.95" customHeight="1" x14ac:dyDescent="0.25">
      <c r="A17" s="8">
        <v>11</v>
      </c>
      <c r="B17" s="9" t="s">
        <v>46</v>
      </c>
      <c r="C17" s="10" t="s">
        <v>47</v>
      </c>
      <c r="D17" s="11" t="s">
        <v>25</v>
      </c>
      <c r="E17" s="12">
        <f t="shared" si="0"/>
        <v>3</v>
      </c>
      <c r="F17" s="11" t="s">
        <v>25</v>
      </c>
      <c r="G17" s="12">
        <f t="shared" si="1"/>
        <v>3</v>
      </c>
      <c r="H17" s="11">
        <f t="shared" si="2"/>
        <v>9</v>
      </c>
      <c r="I17" s="13">
        <v>0</v>
      </c>
      <c r="J17" s="11">
        <f t="shared" si="3"/>
        <v>9</v>
      </c>
      <c r="K17" s="14">
        <v>1</v>
      </c>
      <c r="L17" s="15" t="s">
        <v>48</v>
      </c>
      <c r="M17" s="8">
        <f t="shared" si="4"/>
        <v>7</v>
      </c>
    </row>
    <row r="18" spans="1:13" ht="21.95" customHeight="1" x14ac:dyDescent="0.25">
      <c r="A18" s="16">
        <v>12</v>
      </c>
      <c r="B18" s="17" t="s">
        <v>46</v>
      </c>
      <c r="C18" s="18" t="s">
        <v>49</v>
      </c>
      <c r="D18" s="19" t="s">
        <v>28</v>
      </c>
      <c r="E18" s="20">
        <f t="shared" si="0"/>
        <v>1</v>
      </c>
      <c r="F18" s="19" t="s">
        <v>28</v>
      </c>
      <c r="G18" s="20">
        <f t="shared" si="1"/>
        <v>1</v>
      </c>
      <c r="H18" s="19">
        <f t="shared" si="2"/>
        <v>1</v>
      </c>
      <c r="I18" s="13">
        <v>0</v>
      </c>
      <c r="J18" s="19">
        <f t="shared" si="3"/>
        <v>1</v>
      </c>
      <c r="K18" s="21">
        <v>1</v>
      </c>
      <c r="L18" s="22" t="s">
        <v>50</v>
      </c>
      <c r="M18" s="8">
        <f t="shared" si="4"/>
        <v>15</v>
      </c>
    </row>
    <row r="19" spans="1:13" ht="21.95" customHeight="1" x14ac:dyDescent="0.25">
      <c r="A19" s="8">
        <v>13</v>
      </c>
      <c r="B19" s="9" t="s">
        <v>51</v>
      </c>
      <c r="C19" s="10" t="s">
        <v>52</v>
      </c>
      <c r="D19" s="11" t="s">
        <v>25</v>
      </c>
      <c r="E19" s="12">
        <f t="shared" si="0"/>
        <v>3</v>
      </c>
      <c r="F19" s="11" t="s">
        <v>22</v>
      </c>
      <c r="G19" s="12">
        <f t="shared" si="1"/>
        <v>5</v>
      </c>
      <c r="H19" s="11">
        <f t="shared" si="2"/>
        <v>15</v>
      </c>
      <c r="I19" s="13">
        <v>0</v>
      </c>
      <c r="J19" s="11">
        <f t="shared" si="3"/>
        <v>15</v>
      </c>
      <c r="K19" s="14">
        <v>1.5</v>
      </c>
      <c r="L19" s="15" t="s">
        <v>53</v>
      </c>
      <c r="M19" s="8">
        <f t="shared" si="4"/>
        <v>5</v>
      </c>
    </row>
    <row r="20" spans="1:13" ht="21.95" customHeight="1" x14ac:dyDescent="0.25">
      <c r="A20" s="16">
        <v>14</v>
      </c>
      <c r="B20" s="17" t="s">
        <v>51</v>
      </c>
      <c r="C20" s="18" t="s">
        <v>54</v>
      </c>
      <c r="D20" s="19" t="s">
        <v>28</v>
      </c>
      <c r="E20" s="20">
        <f t="shared" si="0"/>
        <v>1</v>
      </c>
      <c r="F20" s="19" t="s">
        <v>28</v>
      </c>
      <c r="G20" s="20">
        <f t="shared" si="1"/>
        <v>1</v>
      </c>
      <c r="H20" s="19">
        <f t="shared" si="2"/>
        <v>1</v>
      </c>
      <c r="I20" s="13">
        <v>0</v>
      </c>
      <c r="J20" s="19">
        <f t="shared" si="3"/>
        <v>1</v>
      </c>
      <c r="K20" s="21">
        <v>0.5</v>
      </c>
      <c r="L20" s="22" t="s">
        <v>55</v>
      </c>
      <c r="M20" s="8">
        <f t="shared" si="4"/>
        <v>16</v>
      </c>
    </row>
    <row r="21" spans="1:13" ht="21.95" customHeight="1" x14ac:dyDescent="0.25">
      <c r="A21" s="8">
        <v>15</v>
      </c>
      <c r="B21" s="9" t="s">
        <v>56</v>
      </c>
      <c r="C21" s="10" t="s">
        <v>57</v>
      </c>
      <c r="D21" s="11" t="s">
        <v>28</v>
      </c>
      <c r="E21" s="12">
        <f t="shared" si="0"/>
        <v>1</v>
      </c>
      <c r="F21" s="11" t="s">
        <v>25</v>
      </c>
      <c r="G21" s="12">
        <f t="shared" si="1"/>
        <v>3</v>
      </c>
      <c r="H21" s="11">
        <f t="shared" si="2"/>
        <v>3</v>
      </c>
      <c r="I21" s="13">
        <v>0</v>
      </c>
      <c r="J21" s="11">
        <f t="shared" si="3"/>
        <v>3</v>
      </c>
      <c r="K21" s="14">
        <v>1</v>
      </c>
      <c r="L21" s="15" t="s">
        <v>58</v>
      </c>
      <c r="M21" s="8">
        <f t="shared" si="4"/>
        <v>12</v>
      </c>
    </row>
    <row r="22" spans="1:13" ht="21.95" customHeight="1" x14ac:dyDescent="0.25">
      <c r="A22" s="16">
        <v>16</v>
      </c>
      <c r="B22" s="17" t="s">
        <v>56</v>
      </c>
      <c r="C22" s="18" t="s">
        <v>59</v>
      </c>
      <c r="D22" s="19" t="s">
        <v>28</v>
      </c>
      <c r="E22" s="20">
        <f t="shared" si="0"/>
        <v>1</v>
      </c>
      <c r="F22" s="19" t="s">
        <v>25</v>
      </c>
      <c r="G22" s="20">
        <f t="shared" si="1"/>
        <v>3</v>
      </c>
      <c r="H22" s="19">
        <f t="shared" si="2"/>
        <v>3</v>
      </c>
      <c r="I22" s="13">
        <v>0</v>
      </c>
      <c r="J22" s="19">
        <f t="shared" si="3"/>
        <v>3</v>
      </c>
      <c r="K22" s="21">
        <v>1</v>
      </c>
      <c r="L22" s="22" t="s">
        <v>60</v>
      </c>
      <c r="M22" s="8">
        <f t="shared" si="4"/>
        <v>13</v>
      </c>
    </row>
    <row r="23" spans="1:13" ht="18" x14ac:dyDescent="0.25">
      <c r="J23" s="23" t="s">
        <v>61</v>
      </c>
      <c r="K23" s="24">
        <f>SUM(K7:K22)</f>
        <v>26.5</v>
      </c>
      <c r="L23" s="25" t="s">
        <v>62</v>
      </c>
    </row>
    <row r="25" spans="1:13" x14ac:dyDescent="0.25">
      <c r="A25" s="46" t="s">
        <v>63</v>
      </c>
      <c r="B25" s="45"/>
      <c r="C25" s="45"/>
      <c r="D25" s="45"/>
      <c r="E25" s="45"/>
      <c r="F25" s="45"/>
      <c r="G25" s="45"/>
      <c r="H25" s="45"/>
      <c r="I25" s="45"/>
      <c r="J25" s="45"/>
      <c r="K25" s="45"/>
      <c r="L25" s="45"/>
    </row>
  </sheetData>
  <mergeCells count="4">
    <mergeCell ref="A3:L3"/>
    <mergeCell ref="A2:L2"/>
    <mergeCell ref="A1:L1"/>
    <mergeCell ref="A25:L25"/>
  </mergeCells>
  <conditionalFormatting sqref="D7:D22">
    <cfRule type="cellIs" dxfId="37" priority="1" operator="equal">
      <formula>"H"</formula>
    </cfRule>
    <cfRule type="cellIs" dxfId="36" priority="2" operator="equal">
      <formula>"M"</formula>
    </cfRule>
    <cfRule type="cellIs" dxfId="35" priority="3" operator="equal">
      <formula>"L"</formula>
    </cfRule>
  </conditionalFormatting>
  <conditionalFormatting sqref="F7:F22">
    <cfRule type="cellIs" dxfId="34" priority="4" operator="equal">
      <formula>"H"</formula>
    </cfRule>
    <cfRule type="cellIs" dxfId="33" priority="5" operator="equal">
      <formula>"M"</formula>
    </cfRule>
    <cfRule type="cellIs" dxfId="32" priority="6" operator="equal">
      <formula>"L"</formula>
    </cfRule>
  </conditionalFormatting>
  <conditionalFormatting sqref="H7:H22">
    <cfRule type="cellIs" dxfId="31" priority="7" operator="greaterThanOrEqual">
      <formula>15</formula>
    </cfRule>
    <cfRule type="cellIs" dxfId="30" priority="8" operator="between">
      <formula>5</formula>
      <formula>14</formula>
    </cfRule>
    <cfRule type="cellIs" dxfId="29" priority="9" operator="lessThanOrEqual">
      <formula>3</formula>
    </cfRule>
  </conditionalFormatting>
  <conditionalFormatting sqref="I7:I22">
    <cfRule type="cellIs" dxfId="28" priority="13" operator="notEqual">
      <formula>0</formula>
    </cfRule>
  </conditionalFormatting>
  <conditionalFormatting sqref="J7:J22">
    <cfRule type="cellIs" dxfId="27" priority="10" operator="greaterThanOrEqual">
      <formula>15</formula>
    </cfRule>
    <cfRule type="cellIs" dxfId="26" priority="11" operator="between">
      <formula>5</formula>
      <formula>14</formula>
    </cfRule>
    <cfRule type="cellIs" dxfId="25" priority="12" operator="lessThanOrEqual">
      <formula>3</formula>
    </cfRule>
  </conditionalFormatting>
  <pageMargins left="0.5" right="0.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24"/>
  <sheetViews>
    <sheetView tabSelected="1" workbookViewId="0">
      <selection activeCell="L23" sqref="L23"/>
    </sheetView>
  </sheetViews>
  <sheetFormatPr defaultRowHeight="15" x14ac:dyDescent="0.25"/>
  <cols>
    <col min="1" max="1" width="18.5703125" customWidth="1"/>
    <col min="2" max="2" width="20" customWidth="1"/>
    <col min="3" max="3" width="24" customWidth="1"/>
    <col min="4" max="4" width="10" customWidth="1"/>
    <col min="5" max="5" width="20.140625" customWidth="1"/>
    <col min="6" max="6" width="11" customWidth="1"/>
    <col min="7" max="7" width="12.5703125" customWidth="1"/>
    <col min="8" max="8" width="17.85546875" customWidth="1"/>
    <col min="9" max="9" width="12" customWidth="1"/>
    <col min="10" max="10" width="23.85546875" customWidth="1"/>
    <col min="11" max="11" width="17.28515625" customWidth="1"/>
  </cols>
  <sheetData>
    <row r="1" spans="1:11" ht="20.25" x14ac:dyDescent="0.3">
      <c r="A1" s="44" t="s">
        <v>64</v>
      </c>
      <c r="B1" s="45"/>
      <c r="C1" s="45"/>
      <c r="D1" s="45"/>
      <c r="E1" s="45"/>
      <c r="F1" s="45"/>
      <c r="G1" s="45"/>
      <c r="H1" s="45"/>
      <c r="I1" s="45"/>
      <c r="J1" s="45"/>
      <c r="K1" s="45"/>
    </row>
    <row r="3" spans="1:11" ht="15.75" x14ac:dyDescent="0.25">
      <c r="A3" s="23" t="s">
        <v>65</v>
      </c>
      <c r="C3" s="23" t="s">
        <v>66</v>
      </c>
      <c r="D3" s="26">
        <v>1</v>
      </c>
      <c r="E3" s="23" t="s">
        <v>67</v>
      </c>
      <c r="F3" s="27">
        <v>5</v>
      </c>
      <c r="G3" s="23" t="s">
        <v>68</v>
      </c>
      <c r="H3" s="28">
        <v>46174</v>
      </c>
      <c r="I3" s="23" t="s">
        <v>69</v>
      </c>
      <c r="J3" s="28">
        <v>46178</v>
      </c>
    </row>
    <row r="4" spans="1:11" ht="20.25" x14ac:dyDescent="0.25">
      <c r="A4" s="23" t="s">
        <v>70</v>
      </c>
      <c r="B4" s="29">
        <f>NETWORKDAYS(H3,J3)</f>
        <v>5</v>
      </c>
      <c r="C4" s="30" t="s">
        <v>71</v>
      </c>
      <c r="D4" s="31">
        <f>D3*F3*B4</f>
        <v>25</v>
      </c>
      <c r="E4" s="30" t="s">
        <v>72</v>
      </c>
      <c r="G4" s="23" t="s">
        <v>73</v>
      </c>
      <c r="H4" s="32">
        <f>COUNTIF(K7:K22,"Test this cycle")</f>
        <v>14</v>
      </c>
      <c r="I4" s="30" t="str">
        <f>"of "&amp;COUNTA(C7:C22)&amp;" items"</f>
        <v>of 16 items</v>
      </c>
    </row>
    <row r="5" spans="1:11" ht="6" customHeight="1" x14ac:dyDescent="0.25">
      <c r="A5" s="33"/>
      <c r="B5" s="33"/>
      <c r="C5" s="33"/>
      <c r="D5" s="33"/>
      <c r="E5" s="33"/>
      <c r="F5" s="33"/>
      <c r="G5" s="33"/>
      <c r="H5" s="33"/>
      <c r="I5" s="33"/>
      <c r="J5" s="33"/>
      <c r="K5" s="33"/>
    </row>
    <row r="6" spans="1:11" ht="27.95" customHeight="1" x14ac:dyDescent="0.25">
      <c r="A6" s="6" t="s">
        <v>7</v>
      </c>
      <c r="B6" s="6" t="s">
        <v>8</v>
      </c>
      <c r="C6" s="6" t="s">
        <v>9</v>
      </c>
      <c r="D6" s="6" t="s">
        <v>10</v>
      </c>
      <c r="E6" s="6" t="s">
        <v>12</v>
      </c>
      <c r="F6" s="6" t="s">
        <v>14</v>
      </c>
      <c r="G6" s="6" t="s">
        <v>74</v>
      </c>
      <c r="H6" s="6" t="s">
        <v>16</v>
      </c>
      <c r="I6" s="6" t="s">
        <v>17</v>
      </c>
      <c r="J6" s="6" t="s">
        <v>75</v>
      </c>
      <c r="K6" s="6" t="s">
        <v>76</v>
      </c>
    </row>
    <row r="7" spans="1:11" ht="21.95" customHeight="1" x14ac:dyDescent="0.25">
      <c r="A7" s="34">
        <v>1</v>
      </c>
      <c r="B7" s="35" t="str">
        <f>IFERROR(INDEX('Risk Analysis'!$B$7:$B$22,MATCH(1,'Risk Analysis'!$M$7:$M$22,0)),"")</f>
        <v>Authentication</v>
      </c>
      <c r="C7" s="35" t="str">
        <f>IFERROR(INDEX('Risk Analysis'!$C$7:$C$22,MATCH(1,'Risk Analysis'!$M$7:$M$22,0)),"")</f>
        <v>Login / Logout</v>
      </c>
      <c r="D7" s="36" t="str">
        <f>IFERROR(INDEX('Risk Analysis'!$D$7:$D$22,MATCH(1,'Risk Analysis'!$M$7:$M$22,0)),"")</f>
        <v>H</v>
      </c>
      <c r="E7" s="36" t="str">
        <f>IFERROR(INDEX('Risk Analysis'!$F$7:$F$22,MATCH(1,'Risk Analysis'!$M$7:$M$22,0)),"")</f>
        <v>H</v>
      </c>
      <c r="F7" s="37">
        <f>IFERROR(INDEX('Risk Analysis'!$H$7:$H$22,MATCH(1,'Risk Analysis'!$M$7:$M$22,0)),"")</f>
        <v>25</v>
      </c>
      <c r="G7" s="38">
        <f>IFERROR(INDEX('Risk Analysis'!$I$7:$I$22,MATCH(1,'Risk Analysis'!$M$7:$M$22,0)),"")</f>
        <v>0</v>
      </c>
      <c r="H7" s="36">
        <f>IFERROR(INDEX('Risk Analysis'!$J$7:$J$22,MATCH(1,'Risk Analysis'!$M$7:$M$22,0)),"")</f>
        <v>25</v>
      </c>
      <c r="I7" s="39">
        <f>IFERROR(INDEX('Risk Analysis'!$K$7:$K$22,MATCH(1,'Risk Analysis'!$M$7:$M$22,0)),"")</f>
        <v>3</v>
      </c>
      <c r="J7" s="40">
        <f>IF(I7="","",I7)</f>
        <v>3</v>
      </c>
      <c r="K7" s="41" t="str">
        <f>IF(I7="","",IF(J7&lt;=$D$4,"Test this cycle","Deferred"))</f>
        <v>Test this cycle</v>
      </c>
    </row>
    <row r="8" spans="1:11" ht="21.95" customHeight="1" x14ac:dyDescent="0.25">
      <c r="A8" s="34">
        <v>2</v>
      </c>
      <c r="B8" s="35" t="str">
        <f>IFERROR(INDEX('Risk Analysis'!$B$7:$B$22,MATCH(2,'Risk Analysis'!$M$7:$M$22,0)),"")</f>
        <v>Shopping Cart</v>
      </c>
      <c r="C8" s="35" t="str">
        <f>IFERROR(INDEX('Risk Analysis'!$C$7:$C$22,MATCH(2,'Risk Analysis'!$M$7:$M$22,0)),"")</f>
        <v>Add to Cart</v>
      </c>
      <c r="D8" s="36" t="str">
        <f>IFERROR(INDEX('Risk Analysis'!$D$7:$D$22,MATCH(2,'Risk Analysis'!$M$7:$M$22,0)),"")</f>
        <v>H</v>
      </c>
      <c r="E8" s="36" t="str">
        <f>IFERROR(INDEX('Risk Analysis'!$F$7:$F$22,MATCH(2,'Risk Analysis'!$M$7:$M$22,0)),"")</f>
        <v>H</v>
      </c>
      <c r="F8" s="37">
        <f>IFERROR(INDEX('Risk Analysis'!$H$7:$H$22,MATCH(2,'Risk Analysis'!$M$7:$M$22,0)),"")</f>
        <v>25</v>
      </c>
      <c r="G8" s="38">
        <f>IFERROR(INDEX('Risk Analysis'!$I$7:$I$22,MATCH(2,'Risk Analysis'!$M$7:$M$22,0)),"")</f>
        <v>0</v>
      </c>
      <c r="H8" s="36">
        <f>IFERROR(INDEX('Risk Analysis'!$J$7:$J$22,MATCH(2,'Risk Analysis'!$M$7:$M$22,0)),"")</f>
        <v>25</v>
      </c>
      <c r="I8" s="39">
        <f>IFERROR(INDEX('Risk Analysis'!$K$7:$K$22,MATCH(2,'Risk Analysis'!$M$7:$M$22,0)),"")</f>
        <v>3</v>
      </c>
      <c r="J8" s="40">
        <f t="shared" ref="J8:J22" si="0">IF(I8="","",J7+I8)</f>
        <v>6</v>
      </c>
      <c r="K8" s="41" t="str">
        <f t="shared" ref="K8:K22" si="1">IF(I8="","",IF(J8&lt;=$D$4,"Test this cycle",IF(J7&lt;=$D$4,"At capacity","Deferred")))</f>
        <v>Test this cycle</v>
      </c>
    </row>
    <row r="9" spans="1:11" ht="21.95" customHeight="1" x14ac:dyDescent="0.25">
      <c r="A9" s="34">
        <v>3</v>
      </c>
      <c r="B9" s="35" t="str">
        <f>IFERROR(INDEX('Risk Analysis'!$B$7:$B$22,MATCH(3,'Risk Analysis'!$M$7:$M$22,0)),"")</f>
        <v>Checkout</v>
      </c>
      <c r="C9" s="35" t="str">
        <f>IFERROR(INDEX('Risk Analysis'!$C$7:$C$22,MATCH(3,'Risk Analysis'!$M$7:$M$22,0)),"")</f>
        <v>Credit Card Payment</v>
      </c>
      <c r="D9" s="36" t="str">
        <f>IFERROR(INDEX('Risk Analysis'!$D$7:$D$22,MATCH(3,'Risk Analysis'!$M$7:$M$22,0)),"")</f>
        <v>H</v>
      </c>
      <c r="E9" s="36" t="str">
        <f>IFERROR(INDEX('Risk Analysis'!$F$7:$F$22,MATCH(3,'Risk Analysis'!$M$7:$M$22,0)),"")</f>
        <v>H</v>
      </c>
      <c r="F9" s="37">
        <f>IFERROR(INDEX('Risk Analysis'!$H$7:$H$22,MATCH(3,'Risk Analysis'!$M$7:$M$22,0)),"")</f>
        <v>25</v>
      </c>
      <c r="G9" s="38">
        <f>IFERROR(INDEX('Risk Analysis'!$I$7:$I$22,MATCH(3,'Risk Analysis'!$M$7:$M$22,0)),"")</f>
        <v>0</v>
      </c>
      <c r="H9" s="36">
        <f>IFERROR(INDEX('Risk Analysis'!$J$7:$J$22,MATCH(3,'Risk Analysis'!$M$7:$M$22,0)),"")</f>
        <v>25</v>
      </c>
      <c r="I9" s="39">
        <f>IFERROR(INDEX('Risk Analysis'!$K$7:$K$22,MATCH(3,'Risk Analysis'!$M$7:$M$22,0)),"")</f>
        <v>3</v>
      </c>
      <c r="J9" s="40">
        <f t="shared" si="0"/>
        <v>9</v>
      </c>
      <c r="K9" s="41" t="str">
        <f t="shared" si="1"/>
        <v>Test this cycle</v>
      </c>
    </row>
    <row r="10" spans="1:11" ht="21.95" customHeight="1" x14ac:dyDescent="0.25">
      <c r="A10" s="34">
        <v>4</v>
      </c>
      <c r="B10" s="35" t="str">
        <f>IFERROR(INDEX('Risk Analysis'!$B$7:$B$22,MATCH(4,'Risk Analysis'!$M$7:$M$22,0)),"")</f>
        <v>Checkout</v>
      </c>
      <c r="C10" s="35" t="str">
        <f>IFERROR(INDEX('Risk Analysis'!$C$7:$C$22,MATCH(4,'Risk Analysis'!$M$7:$M$22,0)),"")</f>
        <v>Guest Checkout</v>
      </c>
      <c r="D10" s="36" t="str">
        <f>IFERROR(INDEX('Risk Analysis'!$D$7:$D$22,MATCH(4,'Risk Analysis'!$M$7:$M$22,0)),"")</f>
        <v>H</v>
      </c>
      <c r="E10" s="36" t="str">
        <f>IFERROR(INDEX('Risk Analysis'!$F$7:$F$22,MATCH(4,'Risk Analysis'!$M$7:$M$22,0)),"")</f>
        <v>H</v>
      </c>
      <c r="F10" s="37">
        <f>IFERROR(INDEX('Risk Analysis'!$H$7:$H$22,MATCH(4,'Risk Analysis'!$M$7:$M$22,0)),"")</f>
        <v>25</v>
      </c>
      <c r="G10" s="38">
        <f>IFERROR(INDEX('Risk Analysis'!$I$7:$I$22,MATCH(4,'Risk Analysis'!$M$7:$M$22,0)),"")</f>
        <v>0</v>
      </c>
      <c r="H10" s="36">
        <f>IFERROR(INDEX('Risk Analysis'!$J$7:$J$22,MATCH(4,'Risk Analysis'!$M$7:$M$22,0)),"")</f>
        <v>25</v>
      </c>
      <c r="I10" s="39">
        <f>IFERROR(INDEX('Risk Analysis'!$K$7:$K$22,MATCH(4,'Risk Analysis'!$M$7:$M$22,0)),"")</f>
        <v>2.5</v>
      </c>
      <c r="J10" s="40">
        <f t="shared" si="0"/>
        <v>11.5</v>
      </c>
      <c r="K10" s="41" t="str">
        <f t="shared" si="1"/>
        <v>Test this cycle</v>
      </c>
    </row>
    <row r="11" spans="1:11" ht="21.95" customHeight="1" x14ac:dyDescent="0.25">
      <c r="A11" s="34">
        <v>5</v>
      </c>
      <c r="B11" s="35" t="str">
        <f>IFERROR(INDEX('Risk Analysis'!$B$7:$B$22,MATCH(5,'Risk Analysis'!$M$7:$M$22,0)),"")</f>
        <v>User Admin</v>
      </c>
      <c r="C11" s="35" t="str">
        <f>IFERROR(INDEX('Risk Analysis'!$C$7:$C$22,MATCH(5,'Risk Analysis'!$M$7:$M$22,0)),"")</f>
        <v>User Registration</v>
      </c>
      <c r="D11" s="36" t="str">
        <f>IFERROR(INDEX('Risk Analysis'!$D$7:$D$22,MATCH(5,'Risk Analysis'!$M$7:$M$22,0)),"")</f>
        <v>M</v>
      </c>
      <c r="E11" s="36" t="str">
        <f>IFERROR(INDEX('Risk Analysis'!$F$7:$F$22,MATCH(5,'Risk Analysis'!$M$7:$M$22,0)),"")</f>
        <v>H</v>
      </c>
      <c r="F11" s="37">
        <f>IFERROR(INDEX('Risk Analysis'!$H$7:$H$22,MATCH(5,'Risk Analysis'!$M$7:$M$22,0)),"")</f>
        <v>15</v>
      </c>
      <c r="G11" s="38">
        <f>IFERROR(INDEX('Risk Analysis'!$I$7:$I$22,MATCH(5,'Risk Analysis'!$M$7:$M$22,0)),"")</f>
        <v>0</v>
      </c>
      <c r="H11" s="36">
        <f>IFERROR(INDEX('Risk Analysis'!$J$7:$J$22,MATCH(5,'Risk Analysis'!$M$7:$M$22,0)),"")</f>
        <v>15</v>
      </c>
      <c r="I11" s="39">
        <f>IFERROR(INDEX('Risk Analysis'!$K$7:$K$22,MATCH(5,'Risk Analysis'!$M$7:$M$22,0)),"")</f>
        <v>1.5</v>
      </c>
      <c r="J11" s="40">
        <f t="shared" si="0"/>
        <v>13</v>
      </c>
      <c r="K11" s="41" t="str">
        <f t="shared" si="1"/>
        <v>Test this cycle</v>
      </c>
    </row>
    <row r="12" spans="1:11" ht="21.95" customHeight="1" x14ac:dyDescent="0.25">
      <c r="A12" s="34">
        <v>6</v>
      </c>
      <c r="B12" s="35" t="str">
        <f>IFERROR(INDEX('Risk Analysis'!$B$7:$B$22,MATCH(6,'Risk Analysis'!$M$7:$M$22,0)),"")</f>
        <v>Authentication</v>
      </c>
      <c r="C12" s="35" t="str">
        <f>IFERROR(INDEX('Risk Analysis'!$C$7:$C$22,MATCH(6,'Risk Analysis'!$M$7:$M$22,0)),"")</f>
        <v>Password Reset</v>
      </c>
      <c r="D12" s="36" t="str">
        <f>IFERROR(INDEX('Risk Analysis'!$D$7:$D$22,MATCH(6,'Risk Analysis'!$M$7:$M$22,0)),"")</f>
        <v>M</v>
      </c>
      <c r="E12" s="36" t="str">
        <f>IFERROR(INDEX('Risk Analysis'!$F$7:$F$22,MATCH(6,'Risk Analysis'!$M$7:$M$22,0)),"")</f>
        <v>M</v>
      </c>
      <c r="F12" s="37">
        <f>IFERROR(INDEX('Risk Analysis'!$H$7:$H$22,MATCH(6,'Risk Analysis'!$M$7:$M$22,0)),"")</f>
        <v>9</v>
      </c>
      <c r="G12" s="38">
        <f>IFERROR(INDEX('Risk Analysis'!$I$7:$I$22,MATCH(6,'Risk Analysis'!$M$7:$M$22,0)),"")</f>
        <v>0</v>
      </c>
      <c r="H12" s="36">
        <f>IFERROR(INDEX('Risk Analysis'!$J$7:$J$22,MATCH(6,'Risk Analysis'!$M$7:$M$22,0)),"")</f>
        <v>9</v>
      </c>
      <c r="I12" s="39">
        <f>IFERROR(INDEX('Risk Analysis'!$K$7:$K$22,MATCH(6,'Risk Analysis'!$M$7:$M$22,0)),"")</f>
        <v>2</v>
      </c>
      <c r="J12" s="40">
        <f t="shared" si="0"/>
        <v>15</v>
      </c>
      <c r="K12" s="41" t="str">
        <f t="shared" si="1"/>
        <v>Test this cycle</v>
      </c>
    </row>
    <row r="13" spans="1:11" ht="21.95" customHeight="1" x14ac:dyDescent="0.25">
      <c r="A13" s="34">
        <v>7</v>
      </c>
      <c r="B13" s="35" t="str">
        <f>IFERROR(INDEX('Risk Analysis'!$B$7:$B$22,MATCH(7,'Risk Analysis'!$M$7:$M$22,0)),"")</f>
        <v>Notifications</v>
      </c>
      <c r="C13" s="35" t="str">
        <f>IFERROR(INDEX('Risk Analysis'!$C$7:$C$22,MATCH(7,'Risk Analysis'!$M$7:$M$22,0)),"")</f>
        <v>Order Confirmation Email</v>
      </c>
      <c r="D13" s="36" t="str">
        <f>IFERROR(INDEX('Risk Analysis'!$D$7:$D$22,MATCH(7,'Risk Analysis'!$M$7:$M$22,0)),"")</f>
        <v>M</v>
      </c>
      <c r="E13" s="36" t="str">
        <f>IFERROR(INDEX('Risk Analysis'!$F$7:$F$22,MATCH(7,'Risk Analysis'!$M$7:$M$22,0)),"")</f>
        <v>M</v>
      </c>
      <c r="F13" s="37">
        <f>IFERROR(INDEX('Risk Analysis'!$H$7:$H$22,MATCH(7,'Risk Analysis'!$M$7:$M$22,0)),"")</f>
        <v>9</v>
      </c>
      <c r="G13" s="38">
        <f>IFERROR(INDEX('Risk Analysis'!$I$7:$I$22,MATCH(7,'Risk Analysis'!$M$7:$M$22,0)),"")</f>
        <v>0</v>
      </c>
      <c r="H13" s="36">
        <f>IFERROR(INDEX('Risk Analysis'!$J$7:$J$22,MATCH(7,'Risk Analysis'!$M$7:$M$22,0)),"")</f>
        <v>9</v>
      </c>
      <c r="I13" s="39">
        <f>IFERROR(INDEX('Risk Analysis'!$K$7:$K$22,MATCH(7,'Risk Analysis'!$M$7:$M$22,0)),"")</f>
        <v>1</v>
      </c>
      <c r="J13" s="40">
        <f t="shared" si="0"/>
        <v>16</v>
      </c>
      <c r="K13" s="41" t="str">
        <f t="shared" si="1"/>
        <v>Test this cycle</v>
      </c>
    </row>
    <row r="14" spans="1:11" ht="21.95" customHeight="1" x14ac:dyDescent="0.25">
      <c r="A14" s="34">
        <v>8</v>
      </c>
      <c r="B14" s="35" t="str">
        <f>IFERROR(INDEX('Risk Analysis'!$B$7:$B$22,MATCH(8,'Risk Analysis'!$M$7:$M$22,0)),"")</f>
        <v>Checkout</v>
      </c>
      <c r="C14" s="35" t="str">
        <f>IFERROR(INDEX('Risk Analysis'!$C$7:$C$22,MATCH(8,'Risk Analysis'!$M$7:$M$22,0)),"")</f>
        <v>Tax Calculation</v>
      </c>
      <c r="D14" s="36" t="str">
        <f>IFERROR(INDEX('Risk Analysis'!$D$7:$D$22,MATCH(8,'Risk Analysis'!$M$7:$M$22,0)),"")</f>
        <v>L</v>
      </c>
      <c r="E14" s="36" t="str">
        <f>IFERROR(INDEX('Risk Analysis'!$F$7:$F$22,MATCH(8,'Risk Analysis'!$M$7:$M$22,0)),"")</f>
        <v>H</v>
      </c>
      <c r="F14" s="37">
        <f>IFERROR(INDEX('Risk Analysis'!$H$7:$H$22,MATCH(8,'Risk Analysis'!$M$7:$M$22,0)),"")</f>
        <v>5</v>
      </c>
      <c r="G14" s="38">
        <f>IFERROR(INDEX('Risk Analysis'!$I$7:$I$22,MATCH(8,'Risk Analysis'!$M$7:$M$22,0)),"")</f>
        <v>0</v>
      </c>
      <c r="H14" s="36">
        <f>IFERROR(INDEX('Risk Analysis'!$J$7:$J$22,MATCH(8,'Risk Analysis'!$M$7:$M$22,0)),"")</f>
        <v>5</v>
      </c>
      <c r="I14" s="39">
        <f>IFERROR(INDEX('Risk Analysis'!$K$7:$K$22,MATCH(8,'Risk Analysis'!$M$7:$M$22,0)),"")</f>
        <v>2</v>
      </c>
      <c r="J14" s="40">
        <f t="shared" si="0"/>
        <v>18</v>
      </c>
      <c r="K14" s="41" t="str">
        <f t="shared" si="1"/>
        <v>Test this cycle</v>
      </c>
    </row>
    <row r="15" spans="1:11" ht="21.95" customHeight="1" x14ac:dyDescent="0.25">
      <c r="A15" s="34">
        <v>9</v>
      </c>
      <c r="B15" s="35" t="str">
        <f>IFERROR(INDEX('Risk Analysis'!$B$7:$B$22,MATCH(9,'Risk Analysis'!$M$7:$M$22,0)),"")</f>
        <v>Authentication</v>
      </c>
      <c r="C15" s="35" t="str">
        <f>IFERROR(INDEX('Risk Analysis'!$C$7:$C$22,MATCH(9,'Risk Analysis'!$M$7:$M$22,0)),"")</f>
        <v>Session Timeout</v>
      </c>
      <c r="D15" s="36" t="str">
        <f>IFERROR(INDEX('Risk Analysis'!$D$7:$D$22,MATCH(9,'Risk Analysis'!$M$7:$M$22,0)),"")</f>
        <v>L</v>
      </c>
      <c r="E15" s="36" t="str">
        <f>IFERROR(INDEX('Risk Analysis'!$F$7:$F$22,MATCH(9,'Risk Analysis'!$M$7:$M$22,0)),"")</f>
        <v>M</v>
      </c>
      <c r="F15" s="37">
        <f>IFERROR(INDEX('Risk Analysis'!$H$7:$H$22,MATCH(9,'Risk Analysis'!$M$7:$M$22,0)),"")</f>
        <v>3</v>
      </c>
      <c r="G15" s="38">
        <f>IFERROR(INDEX('Risk Analysis'!$I$7:$I$22,MATCH(9,'Risk Analysis'!$M$7:$M$22,0)),"")</f>
        <v>0</v>
      </c>
      <c r="H15" s="36">
        <f>IFERROR(INDEX('Risk Analysis'!$J$7:$J$22,MATCH(9,'Risk Analysis'!$M$7:$M$22,0)),"")</f>
        <v>3</v>
      </c>
      <c r="I15" s="39">
        <f>IFERROR(INDEX('Risk Analysis'!$K$7:$K$22,MATCH(9,'Risk Analysis'!$M$7:$M$22,0)),"")</f>
        <v>1</v>
      </c>
      <c r="J15" s="40">
        <f t="shared" si="0"/>
        <v>19</v>
      </c>
      <c r="K15" s="41" t="str">
        <f t="shared" si="1"/>
        <v>Test this cycle</v>
      </c>
    </row>
    <row r="16" spans="1:11" ht="21.95" customHeight="1" x14ac:dyDescent="0.25">
      <c r="A16" s="34">
        <v>10</v>
      </c>
      <c r="B16" s="35" t="str">
        <f>IFERROR(INDEX('Risk Analysis'!$B$7:$B$22,MATCH(10,'Risk Analysis'!$M$7:$M$22,0)),"")</f>
        <v>Shopping Cart</v>
      </c>
      <c r="C16" s="35" t="str">
        <f>IFERROR(INDEX('Risk Analysis'!$C$7:$C$22,MATCH(10,'Risk Analysis'!$M$7:$M$22,0)),"")</f>
        <v>Update Quantity</v>
      </c>
      <c r="D16" s="36" t="str">
        <f>IFERROR(INDEX('Risk Analysis'!$D$7:$D$22,MATCH(10,'Risk Analysis'!$M$7:$M$22,0)),"")</f>
        <v>L</v>
      </c>
      <c r="E16" s="36" t="str">
        <f>IFERROR(INDEX('Risk Analysis'!$F$7:$F$22,MATCH(10,'Risk Analysis'!$M$7:$M$22,0)),"")</f>
        <v>M</v>
      </c>
      <c r="F16" s="37">
        <f>IFERROR(INDEX('Risk Analysis'!$H$7:$H$22,MATCH(10,'Risk Analysis'!$M$7:$M$22,0)),"")</f>
        <v>3</v>
      </c>
      <c r="G16" s="38">
        <f>IFERROR(INDEX('Risk Analysis'!$I$7:$I$22,MATCH(10,'Risk Analysis'!$M$7:$M$22,0)),"")</f>
        <v>0</v>
      </c>
      <c r="H16" s="36">
        <f>IFERROR(INDEX('Risk Analysis'!$J$7:$J$22,MATCH(10,'Risk Analysis'!$M$7:$M$22,0)),"")</f>
        <v>3</v>
      </c>
      <c r="I16" s="39">
        <f>IFERROR(INDEX('Risk Analysis'!$K$7:$K$22,MATCH(10,'Risk Analysis'!$M$7:$M$22,0)),"")</f>
        <v>1</v>
      </c>
      <c r="J16" s="40">
        <f t="shared" si="0"/>
        <v>20</v>
      </c>
      <c r="K16" s="41" t="str">
        <f t="shared" si="1"/>
        <v>Test this cycle</v>
      </c>
    </row>
    <row r="17" spans="1:11" ht="21.95" customHeight="1" x14ac:dyDescent="0.25">
      <c r="A17" s="34">
        <v>11</v>
      </c>
      <c r="B17" s="35" t="str">
        <f>IFERROR(INDEX('Risk Analysis'!$B$7:$B$22,MATCH(11,'Risk Analysis'!$M$7:$M$22,0)),"")</f>
        <v>Checkout</v>
      </c>
      <c r="C17" s="35" t="str">
        <f>IFERROR(INDEX('Risk Analysis'!$C$7:$C$22,MATCH(11,'Risk Analysis'!$M$7:$M$22,0)),"")</f>
        <v>Coupon Codes</v>
      </c>
      <c r="D17" s="36" t="str">
        <f>IFERROR(INDEX('Risk Analysis'!$D$7:$D$22,MATCH(11,'Risk Analysis'!$M$7:$M$22,0)),"")</f>
        <v>M</v>
      </c>
      <c r="E17" s="36" t="str">
        <f>IFERROR(INDEX('Risk Analysis'!$F$7:$F$22,MATCH(11,'Risk Analysis'!$M$7:$M$22,0)),"")</f>
        <v>L</v>
      </c>
      <c r="F17" s="37">
        <f>IFERROR(INDEX('Risk Analysis'!$H$7:$H$22,MATCH(11,'Risk Analysis'!$M$7:$M$22,0)),"")</f>
        <v>3</v>
      </c>
      <c r="G17" s="38">
        <f>IFERROR(INDEX('Risk Analysis'!$I$7:$I$22,MATCH(11,'Risk Analysis'!$M$7:$M$22,0)),"")</f>
        <v>0</v>
      </c>
      <c r="H17" s="36">
        <f>IFERROR(INDEX('Risk Analysis'!$J$7:$J$22,MATCH(11,'Risk Analysis'!$M$7:$M$22,0)),"")</f>
        <v>3</v>
      </c>
      <c r="I17" s="39">
        <f>IFERROR(INDEX('Risk Analysis'!$K$7:$K$22,MATCH(11,'Risk Analysis'!$M$7:$M$22,0)),"")</f>
        <v>2</v>
      </c>
      <c r="J17" s="40">
        <f t="shared" si="0"/>
        <v>22</v>
      </c>
      <c r="K17" s="41" t="str">
        <f t="shared" si="1"/>
        <v>Test this cycle</v>
      </c>
    </row>
    <row r="18" spans="1:11" ht="21.95" customHeight="1" x14ac:dyDescent="0.25">
      <c r="A18" s="34">
        <v>12</v>
      </c>
      <c r="B18" s="35" t="str">
        <f>IFERROR(INDEX('Risk Analysis'!$B$7:$B$22,MATCH(12,'Risk Analysis'!$M$7:$M$22,0)),"")</f>
        <v>Reporting</v>
      </c>
      <c r="C18" s="35" t="str">
        <f>IFERROR(INDEX('Risk Analysis'!$C$7:$C$22,MATCH(12,'Risk Analysis'!$M$7:$M$22,0)),"")</f>
        <v>Sales Reports</v>
      </c>
      <c r="D18" s="36" t="str">
        <f>IFERROR(INDEX('Risk Analysis'!$D$7:$D$22,MATCH(12,'Risk Analysis'!$M$7:$M$22,0)),"")</f>
        <v>L</v>
      </c>
      <c r="E18" s="36" t="str">
        <f>IFERROR(INDEX('Risk Analysis'!$F$7:$F$22,MATCH(12,'Risk Analysis'!$M$7:$M$22,0)),"")</f>
        <v>M</v>
      </c>
      <c r="F18" s="37">
        <f>IFERROR(INDEX('Risk Analysis'!$H$7:$H$22,MATCH(12,'Risk Analysis'!$M$7:$M$22,0)),"")</f>
        <v>3</v>
      </c>
      <c r="G18" s="38">
        <f>IFERROR(INDEX('Risk Analysis'!$I$7:$I$22,MATCH(12,'Risk Analysis'!$M$7:$M$22,0)),"")</f>
        <v>0</v>
      </c>
      <c r="H18" s="36">
        <f>IFERROR(INDEX('Risk Analysis'!$J$7:$J$22,MATCH(12,'Risk Analysis'!$M$7:$M$22,0)),"")</f>
        <v>3</v>
      </c>
      <c r="I18" s="39">
        <f>IFERROR(INDEX('Risk Analysis'!$K$7:$K$22,MATCH(12,'Risk Analysis'!$M$7:$M$22,0)),"")</f>
        <v>1</v>
      </c>
      <c r="J18" s="40">
        <f t="shared" si="0"/>
        <v>23</v>
      </c>
      <c r="K18" s="41" t="str">
        <f t="shared" si="1"/>
        <v>Test this cycle</v>
      </c>
    </row>
    <row r="19" spans="1:11" ht="21.95" customHeight="1" x14ac:dyDescent="0.25">
      <c r="A19" s="34">
        <v>13</v>
      </c>
      <c r="B19" s="35" t="str">
        <f>IFERROR(INDEX('Risk Analysis'!$B$7:$B$22,MATCH(13,'Risk Analysis'!$M$7:$M$22,0)),"")</f>
        <v>Reporting</v>
      </c>
      <c r="C19" s="35" t="str">
        <f>IFERROR(INDEX('Risk Analysis'!$C$7:$C$22,MATCH(13,'Risk Analysis'!$M$7:$M$22,0)),"")</f>
        <v>Inventory Reports</v>
      </c>
      <c r="D19" s="36" t="str">
        <f>IFERROR(INDEX('Risk Analysis'!$D$7:$D$22,MATCH(13,'Risk Analysis'!$M$7:$M$22,0)),"")</f>
        <v>L</v>
      </c>
      <c r="E19" s="36" t="str">
        <f>IFERROR(INDEX('Risk Analysis'!$F$7:$F$22,MATCH(13,'Risk Analysis'!$M$7:$M$22,0)),"")</f>
        <v>M</v>
      </c>
      <c r="F19" s="37">
        <f>IFERROR(INDEX('Risk Analysis'!$H$7:$H$22,MATCH(13,'Risk Analysis'!$M$7:$M$22,0)),"")</f>
        <v>3</v>
      </c>
      <c r="G19" s="38">
        <f>IFERROR(INDEX('Risk Analysis'!$I$7:$I$22,MATCH(13,'Risk Analysis'!$M$7:$M$22,0)),"")</f>
        <v>0</v>
      </c>
      <c r="H19" s="36">
        <f>IFERROR(INDEX('Risk Analysis'!$J$7:$J$22,MATCH(13,'Risk Analysis'!$M$7:$M$22,0)),"")</f>
        <v>3</v>
      </c>
      <c r="I19" s="39">
        <f>IFERROR(INDEX('Risk Analysis'!$K$7:$K$22,MATCH(13,'Risk Analysis'!$M$7:$M$22,0)),"")</f>
        <v>1</v>
      </c>
      <c r="J19" s="40">
        <f t="shared" si="0"/>
        <v>24</v>
      </c>
      <c r="K19" s="41" t="str">
        <f t="shared" si="1"/>
        <v>Test this cycle</v>
      </c>
    </row>
    <row r="20" spans="1:11" ht="21.95" customHeight="1" x14ac:dyDescent="0.25">
      <c r="A20" s="34">
        <v>14</v>
      </c>
      <c r="B20" s="35" t="str">
        <f>IFERROR(INDEX('Risk Analysis'!$B$7:$B$22,MATCH(14,'Risk Analysis'!$M$7:$M$22,0)),"")</f>
        <v>Shopping Cart</v>
      </c>
      <c r="C20" s="35" t="str">
        <f>IFERROR(INDEX('Risk Analysis'!$C$7:$C$22,MATCH(14,'Risk Analysis'!$M$7:$M$22,0)),"")</f>
        <v>Remove Item</v>
      </c>
      <c r="D20" s="36" t="str">
        <f>IFERROR(INDEX('Risk Analysis'!$D$7:$D$22,MATCH(14,'Risk Analysis'!$M$7:$M$22,0)),"")</f>
        <v>L</v>
      </c>
      <c r="E20" s="36" t="str">
        <f>IFERROR(INDEX('Risk Analysis'!$F$7:$F$22,MATCH(14,'Risk Analysis'!$M$7:$M$22,0)),"")</f>
        <v>L</v>
      </c>
      <c r="F20" s="37">
        <f>IFERROR(INDEX('Risk Analysis'!$H$7:$H$22,MATCH(14,'Risk Analysis'!$M$7:$M$22,0)),"")</f>
        <v>1</v>
      </c>
      <c r="G20" s="38">
        <f>IFERROR(INDEX('Risk Analysis'!$I$7:$I$22,MATCH(14,'Risk Analysis'!$M$7:$M$22,0)),"")</f>
        <v>0</v>
      </c>
      <c r="H20" s="36">
        <f>IFERROR(INDEX('Risk Analysis'!$J$7:$J$22,MATCH(14,'Risk Analysis'!$M$7:$M$22,0)),"")</f>
        <v>1</v>
      </c>
      <c r="I20" s="39">
        <f>IFERROR(INDEX('Risk Analysis'!$K$7:$K$22,MATCH(14,'Risk Analysis'!$M$7:$M$22,0)),"")</f>
        <v>1</v>
      </c>
      <c r="J20" s="40">
        <f t="shared" si="0"/>
        <v>25</v>
      </c>
      <c r="K20" s="41" t="str">
        <f t="shared" si="1"/>
        <v>Test this cycle</v>
      </c>
    </row>
    <row r="21" spans="1:11" ht="21.95" customHeight="1" x14ac:dyDescent="0.25">
      <c r="A21" s="34">
        <v>15</v>
      </c>
      <c r="B21" s="35" t="str">
        <f>IFERROR(INDEX('Risk Analysis'!$B$7:$B$22,MATCH(15,'Risk Analysis'!$M$7:$M$22,0)),"")</f>
        <v>Notifications</v>
      </c>
      <c r="C21" s="35" t="str">
        <f>IFERROR(INDEX('Risk Analysis'!$C$7:$C$22,MATCH(15,'Risk Analysis'!$M$7:$M$22,0)),"")</f>
        <v>Shipping Notifications</v>
      </c>
      <c r="D21" s="36" t="str">
        <f>IFERROR(INDEX('Risk Analysis'!$D$7:$D$22,MATCH(15,'Risk Analysis'!$M$7:$M$22,0)),"")</f>
        <v>L</v>
      </c>
      <c r="E21" s="36" t="str">
        <f>IFERROR(INDEX('Risk Analysis'!$F$7:$F$22,MATCH(15,'Risk Analysis'!$M$7:$M$22,0)),"")</f>
        <v>L</v>
      </c>
      <c r="F21" s="37">
        <f>IFERROR(INDEX('Risk Analysis'!$H$7:$H$22,MATCH(15,'Risk Analysis'!$M$7:$M$22,0)),"")</f>
        <v>1</v>
      </c>
      <c r="G21" s="38">
        <f>IFERROR(INDEX('Risk Analysis'!$I$7:$I$22,MATCH(15,'Risk Analysis'!$M$7:$M$22,0)),"")</f>
        <v>0</v>
      </c>
      <c r="H21" s="36">
        <f>IFERROR(INDEX('Risk Analysis'!$J$7:$J$22,MATCH(15,'Risk Analysis'!$M$7:$M$22,0)),"")</f>
        <v>1</v>
      </c>
      <c r="I21" s="39">
        <f>IFERROR(INDEX('Risk Analysis'!$K$7:$K$22,MATCH(15,'Risk Analysis'!$M$7:$M$22,0)),"")</f>
        <v>1</v>
      </c>
      <c r="J21" s="40">
        <f t="shared" si="0"/>
        <v>26</v>
      </c>
      <c r="K21" s="41" t="str">
        <f t="shared" si="1"/>
        <v>At capacity</v>
      </c>
    </row>
    <row r="22" spans="1:11" ht="21.95" customHeight="1" x14ac:dyDescent="0.25">
      <c r="A22" s="34">
        <v>16</v>
      </c>
      <c r="B22" s="35" t="str">
        <f>IFERROR(INDEX('Risk Analysis'!$B$7:$B$22,MATCH(16,'Risk Analysis'!$M$7:$M$22,0)),"")</f>
        <v>User Admin</v>
      </c>
      <c r="C22" s="35" t="str">
        <f>IFERROR(INDEX('Risk Analysis'!$C$7:$C$22,MATCH(16,'Risk Analysis'!$M$7:$M$22,0)),"")</f>
        <v>Profile Management</v>
      </c>
      <c r="D22" s="36" t="str">
        <f>IFERROR(INDEX('Risk Analysis'!$D$7:$D$22,MATCH(16,'Risk Analysis'!$M$7:$M$22,0)),"")</f>
        <v>L</v>
      </c>
      <c r="E22" s="36" t="str">
        <f>IFERROR(INDEX('Risk Analysis'!$F$7:$F$22,MATCH(16,'Risk Analysis'!$M$7:$M$22,0)),"")</f>
        <v>L</v>
      </c>
      <c r="F22" s="37">
        <f>IFERROR(INDEX('Risk Analysis'!$H$7:$H$22,MATCH(16,'Risk Analysis'!$M$7:$M$22,0)),"")</f>
        <v>1</v>
      </c>
      <c r="G22" s="38">
        <f>IFERROR(INDEX('Risk Analysis'!$I$7:$I$22,MATCH(16,'Risk Analysis'!$M$7:$M$22,0)),"")</f>
        <v>0</v>
      </c>
      <c r="H22" s="36">
        <f>IFERROR(INDEX('Risk Analysis'!$J$7:$J$22,MATCH(16,'Risk Analysis'!$M$7:$M$22,0)),"")</f>
        <v>1</v>
      </c>
      <c r="I22" s="39">
        <f>IFERROR(INDEX('Risk Analysis'!$K$7:$K$22,MATCH(16,'Risk Analysis'!$M$7:$M$22,0)),"")</f>
        <v>0.5</v>
      </c>
      <c r="J22" s="40">
        <f t="shared" si="0"/>
        <v>26.5</v>
      </c>
      <c r="K22" s="41" t="str">
        <f t="shared" si="1"/>
        <v>Deferred</v>
      </c>
    </row>
    <row r="23" spans="1:11" ht="18" x14ac:dyDescent="0.25">
      <c r="H23" s="23" t="s">
        <v>61</v>
      </c>
      <c r="I23" s="24">
        <f>SUM(I7:I22)</f>
        <v>26.5</v>
      </c>
      <c r="J23" s="1" t="s">
        <v>77</v>
      </c>
      <c r="K23" s="23" t="s">
        <v>78</v>
      </c>
    </row>
    <row r="24" spans="1:11" x14ac:dyDescent="0.25">
      <c r="A24" s="46" t="str">
        <f>"Above cut-line: "&amp;TEXT(SUMIF(K7:K22,"Test this cycle",I7:I22),"0.0")&amp;" hours of "&amp;TEXT(D4,"0.0")&amp;" available  |  Adjust planning inputs (amber cells) or Adjust (+/-) values on Risk Analysis sheet to change the cut-line."</f>
        <v>Above cut-line: 25.0 hours of 25.0 available  |  Adjust planning inputs (amber cells) or Adjust (+/-) values on Risk Analysis sheet to change the cut-line.</v>
      </c>
      <c r="B24" s="45"/>
      <c r="C24" s="45"/>
      <c r="D24" s="45"/>
      <c r="E24" s="45"/>
      <c r="F24" s="45"/>
      <c r="G24" s="45"/>
      <c r="H24" s="45"/>
      <c r="I24" s="45"/>
      <c r="J24" s="45"/>
      <c r="K24" s="45"/>
    </row>
  </sheetData>
  <mergeCells count="2">
    <mergeCell ref="A1:K1"/>
    <mergeCell ref="A24:K24"/>
  </mergeCells>
  <conditionalFormatting sqref="D7:E22">
    <cfRule type="cellIs" dxfId="24" priority="1" operator="equal">
      <formula>"H"</formula>
    </cfRule>
    <cfRule type="cellIs" dxfId="23" priority="2" operator="equal">
      <formula>"M"</formula>
    </cfRule>
    <cfRule type="cellIs" dxfId="22" priority="3" operator="equal">
      <formula>"L"</formula>
    </cfRule>
  </conditionalFormatting>
  <conditionalFormatting sqref="F7:F22">
    <cfRule type="cellIs" dxfId="21" priority="7" operator="greaterThanOrEqual">
      <formula>15</formula>
    </cfRule>
    <cfRule type="cellIs" dxfId="20" priority="8" operator="between">
      <formula>5</formula>
      <formula>14</formula>
    </cfRule>
    <cfRule type="cellIs" dxfId="19" priority="9" operator="lessThanOrEqual">
      <formula>3</formula>
    </cfRule>
  </conditionalFormatting>
  <conditionalFormatting sqref="G7:G22">
    <cfRule type="cellIs" dxfId="18" priority="13" operator="notEqual">
      <formula>0</formula>
    </cfRule>
  </conditionalFormatting>
  <conditionalFormatting sqref="H7:H22">
    <cfRule type="cellIs" dxfId="17" priority="10" operator="greaterThanOrEqual">
      <formula>15</formula>
    </cfRule>
    <cfRule type="cellIs" dxfId="16" priority="11" operator="between">
      <formula>5</formula>
      <formula>14</formula>
    </cfRule>
    <cfRule type="cellIs" dxfId="15" priority="12" operator="lessThanOrEqual">
      <formula>3</formula>
    </cfRule>
  </conditionalFormatting>
  <conditionalFormatting sqref="K7:K22">
    <cfRule type="cellIs" dxfId="14" priority="14" operator="equal">
      <formula>"Test this cycle"</formula>
    </cfRule>
    <cfRule type="cellIs" dxfId="13" priority="15" operator="equal">
      <formula>"At capacity"</formula>
    </cfRule>
    <cfRule type="cellIs" dxfId="12" priority="16" operator="equal">
      <formula>"Deferred"</formula>
    </cfRule>
  </conditionalFormatting>
  <pageMargins left="0.5" right="0.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37"/>
  <sheetViews>
    <sheetView workbookViewId="0">
      <selection sqref="A1:L1"/>
    </sheetView>
  </sheetViews>
  <sheetFormatPr defaultRowHeight="15" x14ac:dyDescent="0.25"/>
  <cols>
    <col min="1" max="1" width="4" customWidth="1"/>
    <col min="2" max="2" width="20" customWidth="1"/>
    <col min="3" max="3" width="24" customWidth="1"/>
    <col min="4" max="4" width="12" customWidth="1"/>
    <col min="5" max="5" width="10" customWidth="1"/>
    <col min="6" max="6" width="12" customWidth="1"/>
    <col min="7" max="7" width="10" customWidth="1"/>
    <col min="8" max="8" width="11" customWidth="1"/>
    <col min="9" max="9" width="10" customWidth="1"/>
    <col min="10" max="10" width="11" customWidth="1"/>
    <col min="11" max="11" width="10" customWidth="1"/>
    <col min="12" max="12" width="28" customWidth="1"/>
  </cols>
  <sheetData>
    <row r="1" spans="1:12" ht="20.25" x14ac:dyDescent="0.3">
      <c r="A1" s="44" t="s">
        <v>79</v>
      </c>
      <c r="B1" s="45"/>
      <c r="C1" s="45"/>
      <c r="D1" s="45"/>
      <c r="E1" s="45"/>
      <c r="F1" s="45"/>
      <c r="G1" s="45"/>
      <c r="H1" s="45"/>
      <c r="I1" s="45"/>
      <c r="J1" s="45"/>
      <c r="K1" s="45"/>
      <c r="L1" s="45"/>
    </row>
    <row r="2" spans="1:12" x14ac:dyDescent="0.25">
      <c r="A2" s="49" t="s">
        <v>80</v>
      </c>
      <c r="B2" s="45"/>
      <c r="C2" s="45"/>
      <c r="D2" s="45"/>
      <c r="E2" s="45"/>
      <c r="F2" s="45"/>
      <c r="G2" s="45"/>
      <c r="H2" s="45"/>
      <c r="I2" s="45"/>
      <c r="J2" s="45"/>
      <c r="K2" s="45"/>
      <c r="L2" s="45"/>
    </row>
    <row r="3" spans="1:12" x14ac:dyDescent="0.25">
      <c r="G3" s="2" t="s">
        <v>3</v>
      </c>
      <c r="H3" s="3" t="s">
        <v>4</v>
      </c>
      <c r="I3" s="4" t="s">
        <v>5</v>
      </c>
      <c r="J3" s="5" t="s">
        <v>6</v>
      </c>
    </row>
    <row r="5" spans="1:12" ht="27.95" customHeight="1" x14ac:dyDescent="0.25">
      <c r="A5" s="6" t="s">
        <v>7</v>
      </c>
      <c r="B5" s="6" t="s">
        <v>8</v>
      </c>
      <c r="C5" s="6" t="s">
        <v>9</v>
      </c>
      <c r="D5" s="6" t="s">
        <v>10</v>
      </c>
      <c r="E5" s="6" t="s">
        <v>11</v>
      </c>
      <c r="F5" s="6" t="s">
        <v>12</v>
      </c>
      <c r="G5" s="6" t="s">
        <v>13</v>
      </c>
      <c r="H5" s="6" t="s">
        <v>14</v>
      </c>
      <c r="I5" s="7" t="s">
        <v>15</v>
      </c>
      <c r="J5" s="6" t="s">
        <v>16</v>
      </c>
      <c r="K5" s="6" t="s">
        <v>17</v>
      </c>
      <c r="L5" s="6" t="s">
        <v>18</v>
      </c>
    </row>
    <row r="6" spans="1:12" ht="21.95" customHeight="1" x14ac:dyDescent="0.25">
      <c r="A6" s="8">
        <v>1</v>
      </c>
      <c r="B6" s="42"/>
      <c r="C6" s="42"/>
      <c r="D6" s="42"/>
      <c r="E6" s="12" t="str">
        <f t="shared" ref="E6:E35" si="0">IF(D6="H",5,IF(D6="M",3,IF(D6="L",1,"")))</f>
        <v/>
      </c>
      <c r="F6" s="42"/>
      <c r="G6" s="12" t="str">
        <f t="shared" ref="G6:G35" si="1">IF(F6="H",5,IF(F6="M",3,IF(F6="L",1,"")))</f>
        <v/>
      </c>
      <c r="H6" s="11" t="str">
        <f t="shared" ref="H6:H35" si="2">IF(AND(E6&lt;&gt;"",G6&lt;&gt;""),E6*G6,"")</f>
        <v/>
      </c>
      <c r="I6" s="13">
        <v>0</v>
      </c>
      <c r="J6" s="11" t="str">
        <f t="shared" ref="J6:J35" si="3">IF(H6="","",H6+I6)</f>
        <v/>
      </c>
      <c r="K6" s="14"/>
      <c r="L6" s="42"/>
    </row>
    <row r="7" spans="1:12" ht="21.95" customHeight="1" x14ac:dyDescent="0.25">
      <c r="A7" s="16">
        <v>2</v>
      </c>
      <c r="B7" s="43"/>
      <c r="C7" s="43"/>
      <c r="D7" s="43"/>
      <c r="E7" s="20" t="str">
        <f t="shared" si="0"/>
        <v/>
      </c>
      <c r="F7" s="43"/>
      <c r="G7" s="20" t="str">
        <f t="shared" si="1"/>
        <v/>
      </c>
      <c r="H7" s="19" t="str">
        <f t="shared" si="2"/>
        <v/>
      </c>
      <c r="I7" s="13">
        <v>0</v>
      </c>
      <c r="J7" s="19" t="str">
        <f t="shared" si="3"/>
        <v/>
      </c>
      <c r="K7" s="21"/>
      <c r="L7" s="43"/>
    </row>
    <row r="8" spans="1:12" ht="21.95" customHeight="1" x14ac:dyDescent="0.25">
      <c r="A8" s="8">
        <v>3</v>
      </c>
      <c r="B8" s="42"/>
      <c r="C8" s="42"/>
      <c r="D8" s="42"/>
      <c r="E8" s="12" t="str">
        <f t="shared" si="0"/>
        <v/>
      </c>
      <c r="F8" s="42"/>
      <c r="G8" s="12" t="str">
        <f t="shared" si="1"/>
        <v/>
      </c>
      <c r="H8" s="11" t="str">
        <f t="shared" si="2"/>
        <v/>
      </c>
      <c r="I8" s="13">
        <v>0</v>
      </c>
      <c r="J8" s="11" t="str">
        <f t="shared" si="3"/>
        <v/>
      </c>
      <c r="K8" s="14"/>
      <c r="L8" s="42"/>
    </row>
    <row r="9" spans="1:12" ht="21.95" customHeight="1" x14ac:dyDescent="0.25">
      <c r="A9" s="16">
        <v>4</v>
      </c>
      <c r="B9" s="43"/>
      <c r="C9" s="43"/>
      <c r="D9" s="43"/>
      <c r="E9" s="20" t="str">
        <f t="shared" si="0"/>
        <v/>
      </c>
      <c r="F9" s="43"/>
      <c r="G9" s="20" t="str">
        <f t="shared" si="1"/>
        <v/>
      </c>
      <c r="H9" s="19" t="str">
        <f t="shared" si="2"/>
        <v/>
      </c>
      <c r="I9" s="13">
        <v>0</v>
      </c>
      <c r="J9" s="19" t="str">
        <f t="shared" si="3"/>
        <v/>
      </c>
      <c r="K9" s="21"/>
      <c r="L9" s="43"/>
    </row>
    <row r="10" spans="1:12" ht="21.95" customHeight="1" x14ac:dyDescent="0.25">
      <c r="A10" s="8">
        <v>5</v>
      </c>
      <c r="B10" s="42"/>
      <c r="C10" s="42"/>
      <c r="D10" s="42"/>
      <c r="E10" s="12" t="str">
        <f t="shared" si="0"/>
        <v/>
      </c>
      <c r="F10" s="42"/>
      <c r="G10" s="12" t="str">
        <f t="shared" si="1"/>
        <v/>
      </c>
      <c r="H10" s="11" t="str">
        <f t="shared" si="2"/>
        <v/>
      </c>
      <c r="I10" s="13">
        <v>0</v>
      </c>
      <c r="J10" s="11" t="str">
        <f t="shared" si="3"/>
        <v/>
      </c>
      <c r="K10" s="14"/>
      <c r="L10" s="42"/>
    </row>
    <row r="11" spans="1:12" ht="21.95" customHeight="1" x14ac:dyDescent="0.25">
      <c r="A11" s="16">
        <v>6</v>
      </c>
      <c r="B11" s="43"/>
      <c r="C11" s="43"/>
      <c r="D11" s="43"/>
      <c r="E11" s="20" t="str">
        <f t="shared" si="0"/>
        <v/>
      </c>
      <c r="F11" s="43"/>
      <c r="G11" s="20" t="str">
        <f t="shared" si="1"/>
        <v/>
      </c>
      <c r="H11" s="19" t="str">
        <f t="shared" si="2"/>
        <v/>
      </c>
      <c r="I11" s="13">
        <v>0</v>
      </c>
      <c r="J11" s="19" t="str">
        <f t="shared" si="3"/>
        <v/>
      </c>
      <c r="K11" s="21"/>
      <c r="L11" s="43"/>
    </row>
    <row r="12" spans="1:12" ht="21.95" customHeight="1" x14ac:dyDescent="0.25">
      <c r="A12" s="8">
        <v>7</v>
      </c>
      <c r="B12" s="42"/>
      <c r="C12" s="42"/>
      <c r="D12" s="42"/>
      <c r="E12" s="12" t="str">
        <f t="shared" si="0"/>
        <v/>
      </c>
      <c r="F12" s="42"/>
      <c r="G12" s="12" t="str">
        <f t="shared" si="1"/>
        <v/>
      </c>
      <c r="H12" s="11" t="str">
        <f t="shared" si="2"/>
        <v/>
      </c>
      <c r="I12" s="13">
        <v>0</v>
      </c>
      <c r="J12" s="11" t="str">
        <f t="shared" si="3"/>
        <v/>
      </c>
      <c r="K12" s="14"/>
      <c r="L12" s="42"/>
    </row>
    <row r="13" spans="1:12" ht="21.95" customHeight="1" x14ac:dyDescent="0.25">
      <c r="A13" s="16">
        <v>8</v>
      </c>
      <c r="B13" s="43"/>
      <c r="C13" s="43"/>
      <c r="D13" s="43"/>
      <c r="E13" s="20" t="str">
        <f t="shared" si="0"/>
        <v/>
      </c>
      <c r="F13" s="43"/>
      <c r="G13" s="20" t="str">
        <f t="shared" si="1"/>
        <v/>
      </c>
      <c r="H13" s="19" t="str">
        <f t="shared" si="2"/>
        <v/>
      </c>
      <c r="I13" s="13">
        <v>0</v>
      </c>
      <c r="J13" s="19" t="str">
        <f t="shared" si="3"/>
        <v/>
      </c>
      <c r="K13" s="21"/>
      <c r="L13" s="43"/>
    </row>
    <row r="14" spans="1:12" ht="21.95" customHeight="1" x14ac:dyDescent="0.25">
      <c r="A14" s="8">
        <v>9</v>
      </c>
      <c r="B14" s="42"/>
      <c r="C14" s="42"/>
      <c r="D14" s="42"/>
      <c r="E14" s="12" t="str">
        <f t="shared" si="0"/>
        <v/>
      </c>
      <c r="F14" s="42"/>
      <c r="G14" s="12" t="str">
        <f t="shared" si="1"/>
        <v/>
      </c>
      <c r="H14" s="11" t="str">
        <f t="shared" si="2"/>
        <v/>
      </c>
      <c r="I14" s="13">
        <v>0</v>
      </c>
      <c r="J14" s="11" t="str">
        <f t="shared" si="3"/>
        <v/>
      </c>
      <c r="K14" s="14"/>
      <c r="L14" s="42"/>
    </row>
    <row r="15" spans="1:12" ht="21.95" customHeight="1" x14ac:dyDescent="0.25">
      <c r="A15" s="16">
        <v>10</v>
      </c>
      <c r="B15" s="43"/>
      <c r="C15" s="43"/>
      <c r="D15" s="43"/>
      <c r="E15" s="20" t="str">
        <f t="shared" si="0"/>
        <v/>
      </c>
      <c r="F15" s="43"/>
      <c r="G15" s="20" t="str">
        <f t="shared" si="1"/>
        <v/>
      </c>
      <c r="H15" s="19" t="str">
        <f t="shared" si="2"/>
        <v/>
      </c>
      <c r="I15" s="13">
        <v>0</v>
      </c>
      <c r="J15" s="19" t="str">
        <f t="shared" si="3"/>
        <v/>
      </c>
      <c r="K15" s="21"/>
      <c r="L15" s="43"/>
    </row>
    <row r="16" spans="1:12" ht="21.95" customHeight="1" x14ac:dyDescent="0.25">
      <c r="A16" s="8">
        <v>11</v>
      </c>
      <c r="B16" s="42"/>
      <c r="C16" s="42"/>
      <c r="D16" s="42"/>
      <c r="E16" s="12" t="str">
        <f t="shared" si="0"/>
        <v/>
      </c>
      <c r="F16" s="42"/>
      <c r="G16" s="12" t="str">
        <f t="shared" si="1"/>
        <v/>
      </c>
      <c r="H16" s="11" t="str">
        <f t="shared" si="2"/>
        <v/>
      </c>
      <c r="I16" s="13">
        <v>0</v>
      </c>
      <c r="J16" s="11" t="str">
        <f t="shared" si="3"/>
        <v/>
      </c>
      <c r="K16" s="14"/>
      <c r="L16" s="42"/>
    </row>
    <row r="17" spans="1:12" ht="21.95" customHeight="1" x14ac:dyDescent="0.25">
      <c r="A17" s="16">
        <v>12</v>
      </c>
      <c r="B17" s="43"/>
      <c r="C17" s="43"/>
      <c r="D17" s="43"/>
      <c r="E17" s="20" t="str">
        <f t="shared" si="0"/>
        <v/>
      </c>
      <c r="F17" s="43"/>
      <c r="G17" s="20" t="str">
        <f t="shared" si="1"/>
        <v/>
      </c>
      <c r="H17" s="19" t="str">
        <f t="shared" si="2"/>
        <v/>
      </c>
      <c r="I17" s="13">
        <v>0</v>
      </c>
      <c r="J17" s="19" t="str">
        <f t="shared" si="3"/>
        <v/>
      </c>
      <c r="K17" s="21"/>
      <c r="L17" s="43"/>
    </row>
    <row r="18" spans="1:12" ht="21.95" customHeight="1" x14ac:dyDescent="0.25">
      <c r="A18" s="8">
        <v>13</v>
      </c>
      <c r="B18" s="42"/>
      <c r="C18" s="42"/>
      <c r="D18" s="42"/>
      <c r="E18" s="12" t="str">
        <f t="shared" si="0"/>
        <v/>
      </c>
      <c r="F18" s="42"/>
      <c r="G18" s="12" t="str">
        <f t="shared" si="1"/>
        <v/>
      </c>
      <c r="H18" s="11" t="str">
        <f t="shared" si="2"/>
        <v/>
      </c>
      <c r="I18" s="13">
        <v>0</v>
      </c>
      <c r="J18" s="11" t="str">
        <f t="shared" si="3"/>
        <v/>
      </c>
      <c r="K18" s="14"/>
      <c r="L18" s="42"/>
    </row>
    <row r="19" spans="1:12" ht="21.95" customHeight="1" x14ac:dyDescent="0.25">
      <c r="A19" s="16">
        <v>14</v>
      </c>
      <c r="B19" s="43"/>
      <c r="C19" s="43"/>
      <c r="D19" s="43"/>
      <c r="E19" s="20" t="str">
        <f t="shared" si="0"/>
        <v/>
      </c>
      <c r="F19" s="43"/>
      <c r="G19" s="20" t="str">
        <f t="shared" si="1"/>
        <v/>
      </c>
      <c r="H19" s="19" t="str">
        <f t="shared" si="2"/>
        <v/>
      </c>
      <c r="I19" s="13">
        <v>0</v>
      </c>
      <c r="J19" s="19" t="str">
        <f t="shared" si="3"/>
        <v/>
      </c>
      <c r="K19" s="21"/>
      <c r="L19" s="43"/>
    </row>
    <row r="20" spans="1:12" ht="21.95" customHeight="1" x14ac:dyDescent="0.25">
      <c r="A20" s="8">
        <v>15</v>
      </c>
      <c r="B20" s="42"/>
      <c r="C20" s="42"/>
      <c r="D20" s="42"/>
      <c r="E20" s="12" t="str">
        <f t="shared" si="0"/>
        <v/>
      </c>
      <c r="F20" s="42"/>
      <c r="G20" s="12" t="str">
        <f t="shared" si="1"/>
        <v/>
      </c>
      <c r="H20" s="11" t="str">
        <f t="shared" si="2"/>
        <v/>
      </c>
      <c r="I20" s="13">
        <v>0</v>
      </c>
      <c r="J20" s="11" t="str">
        <f t="shared" si="3"/>
        <v/>
      </c>
      <c r="K20" s="14"/>
      <c r="L20" s="42"/>
    </row>
    <row r="21" spans="1:12" ht="21.95" customHeight="1" x14ac:dyDescent="0.25">
      <c r="A21" s="16">
        <v>16</v>
      </c>
      <c r="B21" s="43"/>
      <c r="C21" s="43"/>
      <c r="D21" s="43"/>
      <c r="E21" s="20" t="str">
        <f t="shared" si="0"/>
        <v/>
      </c>
      <c r="F21" s="43"/>
      <c r="G21" s="20" t="str">
        <f t="shared" si="1"/>
        <v/>
      </c>
      <c r="H21" s="19" t="str">
        <f t="shared" si="2"/>
        <v/>
      </c>
      <c r="I21" s="13">
        <v>0</v>
      </c>
      <c r="J21" s="19" t="str">
        <f t="shared" si="3"/>
        <v/>
      </c>
      <c r="K21" s="21"/>
      <c r="L21" s="43"/>
    </row>
    <row r="22" spans="1:12" ht="21.95" customHeight="1" x14ac:dyDescent="0.25">
      <c r="A22" s="8">
        <v>17</v>
      </c>
      <c r="B22" s="42"/>
      <c r="C22" s="42"/>
      <c r="D22" s="42"/>
      <c r="E22" s="12" t="str">
        <f t="shared" si="0"/>
        <v/>
      </c>
      <c r="F22" s="42"/>
      <c r="G22" s="12" t="str">
        <f t="shared" si="1"/>
        <v/>
      </c>
      <c r="H22" s="11" t="str">
        <f t="shared" si="2"/>
        <v/>
      </c>
      <c r="I22" s="13">
        <v>0</v>
      </c>
      <c r="J22" s="11" t="str">
        <f t="shared" si="3"/>
        <v/>
      </c>
      <c r="K22" s="14"/>
      <c r="L22" s="42"/>
    </row>
    <row r="23" spans="1:12" ht="21.95" customHeight="1" x14ac:dyDescent="0.25">
      <c r="A23" s="16">
        <v>18</v>
      </c>
      <c r="B23" s="43"/>
      <c r="C23" s="43"/>
      <c r="D23" s="43"/>
      <c r="E23" s="20" t="str">
        <f t="shared" si="0"/>
        <v/>
      </c>
      <c r="F23" s="43"/>
      <c r="G23" s="20" t="str">
        <f t="shared" si="1"/>
        <v/>
      </c>
      <c r="H23" s="19" t="str">
        <f t="shared" si="2"/>
        <v/>
      </c>
      <c r="I23" s="13">
        <v>0</v>
      </c>
      <c r="J23" s="19" t="str">
        <f t="shared" si="3"/>
        <v/>
      </c>
      <c r="K23" s="21"/>
      <c r="L23" s="43"/>
    </row>
    <row r="24" spans="1:12" ht="21.95" customHeight="1" x14ac:dyDescent="0.25">
      <c r="A24" s="8">
        <v>19</v>
      </c>
      <c r="B24" s="42"/>
      <c r="C24" s="42"/>
      <c r="D24" s="42"/>
      <c r="E24" s="12" t="str">
        <f t="shared" si="0"/>
        <v/>
      </c>
      <c r="F24" s="42"/>
      <c r="G24" s="12" t="str">
        <f t="shared" si="1"/>
        <v/>
      </c>
      <c r="H24" s="11" t="str">
        <f t="shared" si="2"/>
        <v/>
      </c>
      <c r="I24" s="13">
        <v>0</v>
      </c>
      <c r="J24" s="11" t="str">
        <f t="shared" si="3"/>
        <v/>
      </c>
      <c r="K24" s="14"/>
      <c r="L24" s="42"/>
    </row>
    <row r="25" spans="1:12" ht="21.95" customHeight="1" x14ac:dyDescent="0.25">
      <c r="A25" s="16">
        <v>20</v>
      </c>
      <c r="B25" s="43"/>
      <c r="C25" s="43"/>
      <c r="D25" s="43"/>
      <c r="E25" s="20" t="str">
        <f t="shared" si="0"/>
        <v/>
      </c>
      <c r="F25" s="43"/>
      <c r="G25" s="20" t="str">
        <f t="shared" si="1"/>
        <v/>
      </c>
      <c r="H25" s="19" t="str">
        <f t="shared" si="2"/>
        <v/>
      </c>
      <c r="I25" s="13">
        <v>0</v>
      </c>
      <c r="J25" s="19" t="str">
        <f t="shared" si="3"/>
        <v/>
      </c>
      <c r="K25" s="21"/>
      <c r="L25" s="43"/>
    </row>
    <row r="26" spans="1:12" ht="21.95" customHeight="1" x14ac:dyDescent="0.25">
      <c r="A26" s="8">
        <v>21</v>
      </c>
      <c r="B26" s="42"/>
      <c r="C26" s="42"/>
      <c r="D26" s="42"/>
      <c r="E26" s="12" t="str">
        <f t="shared" si="0"/>
        <v/>
      </c>
      <c r="F26" s="42"/>
      <c r="G26" s="12" t="str">
        <f t="shared" si="1"/>
        <v/>
      </c>
      <c r="H26" s="11" t="str">
        <f t="shared" si="2"/>
        <v/>
      </c>
      <c r="I26" s="13">
        <v>0</v>
      </c>
      <c r="J26" s="11" t="str">
        <f t="shared" si="3"/>
        <v/>
      </c>
      <c r="K26" s="14"/>
      <c r="L26" s="42"/>
    </row>
    <row r="27" spans="1:12" ht="21.95" customHeight="1" x14ac:dyDescent="0.25">
      <c r="A27" s="16">
        <v>22</v>
      </c>
      <c r="B27" s="43"/>
      <c r="C27" s="43"/>
      <c r="D27" s="43"/>
      <c r="E27" s="20" t="str">
        <f t="shared" si="0"/>
        <v/>
      </c>
      <c r="F27" s="43"/>
      <c r="G27" s="20" t="str">
        <f t="shared" si="1"/>
        <v/>
      </c>
      <c r="H27" s="19" t="str">
        <f t="shared" si="2"/>
        <v/>
      </c>
      <c r="I27" s="13">
        <v>0</v>
      </c>
      <c r="J27" s="19" t="str">
        <f t="shared" si="3"/>
        <v/>
      </c>
      <c r="K27" s="21"/>
      <c r="L27" s="43"/>
    </row>
    <row r="28" spans="1:12" ht="21.95" customHeight="1" x14ac:dyDescent="0.25">
      <c r="A28" s="8">
        <v>23</v>
      </c>
      <c r="B28" s="42"/>
      <c r="C28" s="42"/>
      <c r="D28" s="42"/>
      <c r="E28" s="12" t="str">
        <f t="shared" si="0"/>
        <v/>
      </c>
      <c r="F28" s="42"/>
      <c r="G28" s="12" t="str">
        <f t="shared" si="1"/>
        <v/>
      </c>
      <c r="H28" s="11" t="str">
        <f t="shared" si="2"/>
        <v/>
      </c>
      <c r="I28" s="13">
        <v>0</v>
      </c>
      <c r="J28" s="11" t="str">
        <f t="shared" si="3"/>
        <v/>
      </c>
      <c r="K28" s="14"/>
      <c r="L28" s="42"/>
    </row>
    <row r="29" spans="1:12" ht="21.95" customHeight="1" x14ac:dyDescent="0.25">
      <c r="A29" s="16">
        <v>24</v>
      </c>
      <c r="B29" s="43"/>
      <c r="C29" s="43"/>
      <c r="D29" s="43"/>
      <c r="E29" s="20" t="str">
        <f t="shared" si="0"/>
        <v/>
      </c>
      <c r="F29" s="43"/>
      <c r="G29" s="20" t="str">
        <f t="shared" si="1"/>
        <v/>
      </c>
      <c r="H29" s="19" t="str">
        <f t="shared" si="2"/>
        <v/>
      </c>
      <c r="I29" s="13">
        <v>0</v>
      </c>
      <c r="J29" s="19" t="str">
        <f t="shared" si="3"/>
        <v/>
      </c>
      <c r="K29" s="21"/>
      <c r="L29" s="43"/>
    </row>
    <row r="30" spans="1:12" ht="21.95" customHeight="1" x14ac:dyDescent="0.25">
      <c r="A30" s="8">
        <v>25</v>
      </c>
      <c r="B30" s="42"/>
      <c r="C30" s="42"/>
      <c r="D30" s="42"/>
      <c r="E30" s="12" t="str">
        <f t="shared" si="0"/>
        <v/>
      </c>
      <c r="F30" s="42"/>
      <c r="G30" s="12" t="str">
        <f t="shared" si="1"/>
        <v/>
      </c>
      <c r="H30" s="11" t="str">
        <f t="shared" si="2"/>
        <v/>
      </c>
      <c r="I30" s="13">
        <v>0</v>
      </c>
      <c r="J30" s="11" t="str">
        <f t="shared" si="3"/>
        <v/>
      </c>
      <c r="K30" s="14"/>
      <c r="L30" s="42"/>
    </row>
    <row r="31" spans="1:12" ht="21.95" customHeight="1" x14ac:dyDescent="0.25">
      <c r="A31" s="16">
        <v>26</v>
      </c>
      <c r="B31" s="43"/>
      <c r="C31" s="43"/>
      <c r="D31" s="43"/>
      <c r="E31" s="20" t="str">
        <f t="shared" si="0"/>
        <v/>
      </c>
      <c r="F31" s="43"/>
      <c r="G31" s="20" t="str">
        <f t="shared" si="1"/>
        <v/>
      </c>
      <c r="H31" s="19" t="str">
        <f t="shared" si="2"/>
        <v/>
      </c>
      <c r="I31" s="13">
        <v>0</v>
      </c>
      <c r="J31" s="19" t="str">
        <f t="shared" si="3"/>
        <v/>
      </c>
      <c r="K31" s="21"/>
      <c r="L31" s="43"/>
    </row>
    <row r="32" spans="1:12" ht="21.95" customHeight="1" x14ac:dyDescent="0.25">
      <c r="A32" s="8">
        <v>27</v>
      </c>
      <c r="B32" s="42"/>
      <c r="C32" s="42"/>
      <c r="D32" s="42"/>
      <c r="E32" s="12" t="str">
        <f t="shared" si="0"/>
        <v/>
      </c>
      <c r="F32" s="42"/>
      <c r="G32" s="12" t="str">
        <f t="shared" si="1"/>
        <v/>
      </c>
      <c r="H32" s="11" t="str">
        <f t="shared" si="2"/>
        <v/>
      </c>
      <c r="I32" s="13">
        <v>0</v>
      </c>
      <c r="J32" s="11" t="str">
        <f t="shared" si="3"/>
        <v/>
      </c>
      <c r="K32" s="14"/>
      <c r="L32" s="42"/>
    </row>
    <row r="33" spans="1:12" ht="21.95" customHeight="1" x14ac:dyDescent="0.25">
      <c r="A33" s="16">
        <v>28</v>
      </c>
      <c r="B33" s="43"/>
      <c r="C33" s="43"/>
      <c r="D33" s="43"/>
      <c r="E33" s="20" t="str">
        <f t="shared" si="0"/>
        <v/>
      </c>
      <c r="F33" s="43"/>
      <c r="G33" s="20" t="str">
        <f t="shared" si="1"/>
        <v/>
      </c>
      <c r="H33" s="19" t="str">
        <f t="shared" si="2"/>
        <v/>
      </c>
      <c r="I33" s="13">
        <v>0</v>
      </c>
      <c r="J33" s="19" t="str">
        <f t="shared" si="3"/>
        <v/>
      </c>
      <c r="K33" s="21"/>
      <c r="L33" s="43"/>
    </row>
    <row r="34" spans="1:12" ht="21.95" customHeight="1" x14ac:dyDescent="0.25">
      <c r="A34" s="8">
        <v>29</v>
      </c>
      <c r="B34" s="42"/>
      <c r="C34" s="42"/>
      <c r="D34" s="42"/>
      <c r="E34" s="12" t="str">
        <f t="shared" si="0"/>
        <v/>
      </c>
      <c r="F34" s="42"/>
      <c r="G34" s="12" t="str">
        <f t="shared" si="1"/>
        <v/>
      </c>
      <c r="H34" s="11" t="str">
        <f t="shared" si="2"/>
        <v/>
      </c>
      <c r="I34" s="13">
        <v>0</v>
      </c>
      <c r="J34" s="11" t="str">
        <f t="shared" si="3"/>
        <v/>
      </c>
      <c r="K34" s="14"/>
      <c r="L34" s="42"/>
    </row>
    <row r="35" spans="1:12" ht="21.95" customHeight="1" x14ac:dyDescent="0.25">
      <c r="A35" s="16">
        <v>30</v>
      </c>
      <c r="B35" s="43"/>
      <c r="C35" s="43"/>
      <c r="D35" s="43"/>
      <c r="E35" s="20" t="str">
        <f t="shared" si="0"/>
        <v/>
      </c>
      <c r="F35" s="43"/>
      <c r="G35" s="20" t="str">
        <f t="shared" si="1"/>
        <v/>
      </c>
      <c r="H35" s="19" t="str">
        <f t="shared" si="2"/>
        <v/>
      </c>
      <c r="I35" s="13">
        <v>0</v>
      </c>
      <c r="J35" s="19" t="str">
        <f t="shared" si="3"/>
        <v/>
      </c>
      <c r="K35" s="21"/>
      <c r="L35" s="43"/>
    </row>
    <row r="36" spans="1:12" ht="18" x14ac:dyDescent="0.25">
      <c r="J36" s="23" t="s">
        <v>61</v>
      </c>
      <c r="K36" s="24">
        <f>SUM(K6:K35)</f>
        <v>0</v>
      </c>
    </row>
    <row r="37" spans="1:12" x14ac:dyDescent="0.25">
      <c r="A37" s="46" t="s">
        <v>81</v>
      </c>
      <c r="B37" s="45"/>
      <c r="C37" s="45"/>
      <c r="D37" s="45"/>
      <c r="E37" s="45"/>
      <c r="F37" s="45"/>
      <c r="G37" s="45"/>
      <c r="H37" s="45"/>
      <c r="I37" s="45"/>
      <c r="J37" s="45"/>
      <c r="K37" s="45"/>
      <c r="L37" s="45"/>
    </row>
  </sheetData>
  <mergeCells count="3">
    <mergeCell ref="A2:L2"/>
    <mergeCell ref="A1:L1"/>
    <mergeCell ref="A37:L37"/>
  </mergeCells>
  <conditionalFormatting sqref="D6:D35">
    <cfRule type="cellIs" dxfId="11" priority="1" operator="equal">
      <formula>"H"</formula>
    </cfRule>
    <cfRule type="cellIs" dxfId="10" priority="2" operator="equal">
      <formula>"M"</formula>
    </cfRule>
    <cfRule type="cellIs" dxfId="9" priority="3" operator="equal">
      <formula>"L"</formula>
    </cfRule>
  </conditionalFormatting>
  <conditionalFormatting sqref="F6:F35">
    <cfRule type="cellIs" dxfId="8" priority="4" operator="equal">
      <formula>"H"</formula>
    </cfRule>
    <cfRule type="cellIs" dxfId="7" priority="5" operator="equal">
      <formula>"M"</formula>
    </cfRule>
    <cfRule type="cellIs" dxfId="6" priority="6" operator="equal">
      <formula>"L"</formula>
    </cfRule>
  </conditionalFormatting>
  <conditionalFormatting sqref="H6:H35">
    <cfRule type="cellIs" dxfId="5" priority="7" operator="greaterThanOrEqual">
      <formula>15</formula>
    </cfRule>
    <cfRule type="cellIs" dxfId="4" priority="8" operator="between">
      <formula>5</formula>
      <formula>14</formula>
    </cfRule>
    <cfRule type="cellIs" dxfId="3" priority="9" operator="lessThanOrEqual">
      <formula>3</formula>
    </cfRule>
  </conditionalFormatting>
  <conditionalFormatting sqref="J6:J35">
    <cfRule type="cellIs" dxfId="2" priority="10" operator="greaterThanOrEqual">
      <formula>15</formula>
    </cfRule>
    <cfRule type="cellIs" dxfId="1" priority="11" operator="between">
      <formula>5</formula>
      <formula>14</formula>
    </cfRule>
    <cfRule type="cellIs" dxfId="0" priority="12" operator="lessThanOrEqual">
      <formula>3</formula>
    </cfRule>
  </conditionalFormatting>
  <pageMargins left="0.5" right="0.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Risk Analysis</vt:lpstr>
      <vt:lpstr>Planning View</vt:lpstr>
      <vt:lpstr>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Gary McNickle</cp:lastModifiedBy>
  <dcterms:created xsi:type="dcterms:W3CDTF">2026-05-21T20:56:03Z</dcterms:created>
  <dcterms:modified xsi:type="dcterms:W3CDTF">2026-05-22T00:46:11Z</dcterms:modified>
</cp:coreProperties>
</file>